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Tracker" sheetId="2" r:id="rId6"/>
    <sheet state="visible" name="Summary" sheetId="3" r:id="rId7"/>
    <sheet state="visible" name="Sources" sheetId="4" r:id="rId8"/>
  </sheets>
  <definedNames>
    <definedName hidden="1" localSheetId="1" name="_xlnm._FilterDatabase">Tracker!$A$1:$Q$1660</definedName>
    <definedName hidden="1" localSheetId="3" name="_xlnm._FilterDatabase">Sources!$A$1:$C$64</definedName>
  </definedNames>
  <calcPr/>
</workbook>
</file>

<file path=xl/sharedStrings.xml><?xml version="1.0" encoding="utf-8"?>
<sst xmlns="http://schemas.openxmlformats.org/spreadsheetml/2006/main" count="18686" uniqueCount="4658">
  <si>
    <t>Summer 2027 Internship Application Tracker</t>
  </si>
  <si>
    <t>Abdullah Zubair  ·  MSCS, Columbia University (Fall 2026)  ·  built 2026-08-06</t>
  </si>
  <si>
    <t>Source</t>
  </si>
  <si>
    <t>What this is</t>
  </si>
  <si>
    <t>Live counts</t>
  </si>
  <si>
    <t>Rows contributed</t>
  </si>
  <si>
    <t>Priority</t>
  </si>
  <si>
    <t>1,659 live internship postings across 685 distinct US employers, harvested from 60+ sources. Every row carries a real apply link that was read off a live page — no link was constructed or guessed.</t>
  </si>
  <si>
    <t>Representative URL</t>
  </si>
  <si>
    <t>Fit</t>
  </si>
  <si>
    <t>Formulas read the Tracker tab — these update as you fill in Status.</t>
  </si>
  <si>
    <t>Tabs</t>
  </si>
  <si>
    <t>Company</t>
  </si>
  <si>
    <t>zapplyjobs/Internships-2027</t>
  </si>
  <si>
    <t>Tracker — the postings, sorted best-fit first. Sources — where the data came from. Summary — live counts that update as you work.</t>
  </si>
  <si>
    <t>PIPELINE</t>
  </si>
  <si>
    <t>How to work it</t>
  </si>
  <si>
    <t>Role</t>
  </si>
  <si>
    <t>Filter the Tracker tab and work top-down. Priority column A is the ranking:</t>
  </si>
  <si>
    <t>Category</t>
  </si>
  <si>
    <t>A — apply first</t>
  </si>
  <si>
    <t>Location</t>
  </si>
  <si>
    <t>Term</t>
  </si>
  <si>
    <t>https://github.com/zapplyjobs/Internships-2027</t>
  </si>
  <si>
    <t>Visa Signal</t>
  </si>
  <si>
    <t>Vision/AI or research roles at AI-first or top-tier employers, Summer 2027, sponsor-friendly.</t>
  </si>
  <si>
    <t>Apply Link</t>
  </si>
  <si>
    <t>Posted</t>
  </si>
  <si>
    <t>Total opportunities in tracker</t>
  </si>
  <si>
    <t>B — strong fit</t>
  </si>
  <si>
    <t>Source Notes</t>
  </si>
  <si>
    <t>Strong on most axes — apply in week one.</t>
  </si>
  <si>
    <t>Status</t>
  </si>
  <si>
    <t>C — worth applying</t>
  </si>
  <si>
    <t>Date Applied</t>
  </si>
  <si>
    <t>Referral?</t>
  </si>
  <si>
    <t>Solid general SWE/ML at good employers, or off-term timing.</t>
  </si>
  <si>
    <t>Follow-up Due</t>
  </si>
  <si>
    <t>My Notes</t>
  </si>
  <si>
    <t>D — volume / backup</t>
  </si>
  <si>
    <t>speedyapply/2027-AI-College-Jobs</t>
  </si>
  <si>
    <t>Real openings, weaker fit to your CV+product profile. Batch these.</t>
  </si>
  <si>
    <t>https://github.com/speedyapply/2027-AI-College-Jobs</t>
  </si>
  <si>
    <t>Columns you fill in</t>
  </si>
  <si>
    <t>101</t>
  </si>
  <si>
    <t>M through Q are yours — shaded yellow. Status (M) is a dropdown.</t>
  </si>
  <si>
    <t>NVIDIA</t>
  </si>
  <si>
    <t>Example row</t>
  </si>
  <si>
    <t>This is the format expected in your columns — it is an illustration, not a real application:</t>
  </si>
  <si>
    <t>PhD Research Intern, Generative AI - 2026</t>
  </si>
  <si>
    <t>Status | Date Applied | Referral? | Follow-up Due | My Notes</t>
  </si>
  <si>
    <t>Applications submitted</t>
  </si>
  <si>
    <t>SuryaHarikrishnan/internship-tracker</t>
  </si>
  <si>
    <t>Applied | 2026-09-14 | Yes — Sara (Columbia alum) | 2026-09-28 | Referred via alum; OA expected ~2wks</t>
  </si>
  <si>
    <t>ML/AI</t>
  </si>
  <si>
    <t>Santa Clara, CA</t>
  </si>
  <si>
    <t>https://github.com/SuryaHarikrishnan/internship-tracker/blob/master/listings/data-science-ai-machine-learning.md</t>
  </si>
  <si>
    <t>Fall 2026</t>
  </si>
  <si>
    <t>Visa column (H)</t>
  </si>
  <si>
    <t>Known high-volume H-1B sponsor — CPT/OPT routinely accepted</t>
  </si>
  <si>
    <t>You are on an F-1, so this matters. Roles requiring US citizenship, permanent residency or an active security clearance were REMOVED — 292 rows were dropped on that basis, so nothing in this workbook is a clearance dead end.</t>
  </si>
  <si>
    <t>"Known high-volume H-1B sponsor" = employer has a documented track record of sponsoring, so CPT/OPT is routine. "Not stated" = the posting was silent; confirm before investing time in a long application.</t>
  </si>
  <si>
    <t>Honest caveats</t>
  </si>
  <si>
    <t>Apply →  nvidia.wd5.myworkdayjobs.com/nvidiaexternalcareersite/job/</t>
  </si>
  <si>
    <t>Read these before you trust a row:</t>
  </si>
  <si>
    <t>•  Term is "Unknown" on 608 rows — the source table did not state a season. Most are Summer 2027, but confirm on the posting.</t>
  </si>
  <si>
    <t>keryx internship database (GodlyDonuts/keryx)</t>
  </si>
  <si>
    <t>•  Aggregators refresh daily to every 15 minutes; a small number of rows will have closed between harvest and your click.</t>
  </si>
  <si>
    <t>•  Rows sourced via ApplyGuy are one redirect hop from the true ATS posting (flagged in Notes).</t>
  </si>
  <si>
    <t>https://github.com/GodlyDonuts/keryx/blob/main/internships/fall-2026.md</t>
  </si>
  <si>
    <t>•  Visa emoji on the community GitHub lists are contributor-supplied and occasionally inconsistent — treat column H as a strong hint, not a guarantee.</t>
  </si>
  <si>
    <t>•  A research fleet was cut short by a credit limit mid-run, so per-company career-page sweeps (FAANG, AI labs, quant, etc.) are only partially covered. The aggregator harvest is deep; the direct-employer sweep is not. See Sources tab.</t>
  </si>
  <si>
    <t>counts anything past Not started</t>
  </si>
  <si>
    <t>Not started yet</t>
  </si>
  <si>
    <t>skarazan/southeast-tech-internships-2026-2027 (GitHub aggregator)</t>
  </si>
  <si>
    <t>https://github.com/skarazan/southeast-tech-internships-2026-2027</t>
  </si>
  <si>
    <t>PhD-targeted; H-1B sponsor</t>
  </si>
  <si>
    <t>In interview process</t>
  </si>
  <si>
    <t>DereC4/internships-and-newgrad (GitHub aggregator)</t>
  </si>
  <si>
    <t>Offers</t>
  </si>
  <si>
    <t>https://github.com/DereC4/internships-and-newgrad</t>
  </si>
  <si>
    <t>Rejected</t>
  </si>
  <si>
    <t>ApplyGuy/2027-Internships</t>
  </si>
  <si>
    <t>95</t>
  </si>
  <si>
    <t>TikTok/ByteDance</t>
  </si>
  <si>
    <t>https://github.com/ApplyGuy/2027-Internships</t>
  </si>
  <si>
    <t>AI Perception Intern - Pico</t>
  </si>
  <si>
    <t>Response rate</t>
  </si>
  <si>
    <t>CV/Robotics</t>
  </si>
  <si>
    <t>San Jose, CA</t>
  </si>
  <si>
    <t>Summer 2027</t>
  </si>
  <si>
    <t>Apply →  jobs.bytedance.com/en/position/7665457718334425349/detail</t>
  </si>
  <si>
    <t>vanshb03/Summer2027-Internships README (mirror of community list)</t>
  </si>
  <si>
    <t>https://github.com/vanshb03/Summer2027-Internships</t>
  </si>
  <si>
    <t>speedyapply/2027-SWE-College-Jobs (USA intern table)</t>
  </si>
  <si>
    <t>2026-08-03</t>
  </si>
  <si>
    <t>BY PRIORITY</t>
  </si>
  <si>
    <t>https://github.com/speedyapply/2027-SWE-College-Jobs</t>
  </si>
  <si>
    <t>XR perception on Pico headsets; top CV match</t>
  </si>
  <si>
    <t>zapplyjobs/Internships-2027 (Hardware &amp; Engineering section)</t>
  </si>
  <si>
    <t>sndsh404/summer-2027-internships</t>
  </si>
  <si>
    <t>https://github.com/sndsh404/summer-2027-internships</t>
  </si>
  <si>
    <t>Applied Scientist Intern, Trust and Safety, Multimodal Foundation Model</t>
  </si>
  <si>
    <t>Seattle, WA</t>
  </si>
  <si>
    <t>Apply →  lifeattiktok.com/search/7633668456744503557</t>
  </si>
  <si>
    <t>SimplifyJobs Summer2027-Internships Off-Season README</t>
  </si>
  <si>
    <t>https://github.com/SimplifyJobs/Summer2027-Internships/blob/dev/README-Off-Season.md</t>
  </si>
  <si>
    <t>BY CATEGORY</t>
  </si>
  <si>
    <t>PhD-level; multimodal - CV-relevant</t>
  </si>
  <si>
    <t>SWE</t>
  </si>
  <si>
    <t>SimplifyJobs Summer2027-Internships README-Off-Season</t>
  </si>
  <si>
    <t>https://github.com/SimplifyJobs/Summer2027-Internships</t>
  </si>
  <si>
    <t>sndsh404/summer-2027-internships README</t>
  </si>
  <si>
    <t>Apply →  lifeattiktok.com/search/7633670871815670069</t>
  </si>
  <si>
    <t>SimplifyJobs Summer2027-Internships README</t>
  </si>
  <si>
    <t>Data</t>
  </si>
  <si>
    <t>Research</t>
  </si>
  <si>
    <t>dreamworkhq/Open-Tech-Internships-2027</t>
  </si>
  <si>
    <t>https://github.com/dreamworkhq/Open-Tech-Internships-2027</t>
  </si>
  <si>
    <t>Quant</t>
  </si>
  <si>
    <t>Student Researcher - Multimodal Interaction &amp; World Model - Seed</t>
  </si>
  <si>
    <t>Hardware</t>
  </si>
  <si>
    <t>zapplyjobs/Internships-2027 (Product, Design &amp; Research section)</t>
  </si>
  <si>
    <t>Apply →  joinbytedance.com/search/7623548747208739077</t>
  </si>
  <si>
    <t>Product</t>
  </si>
  <si>
    <t>northwesternfintech/2027QuantInternships</t>
  </si>
  <si>
    <t>https://github.com/northwesternfintech/2027QuantInternships</t>
  </si>
  <si>
    <t>Other</t>
  </si>
  <si>
    <t>CV-relevant</t>
  </si>
  <si>
    <t>Security</t>
  </si>
  <si>
    <t>zshah101/Automated-List-Of-Summer-2027-and-Fall-2026-Tech-Internships</t>
  </si>
  <si>
    <t>https://github.com/zshah101/Automated-List-Of-Summer-2027-and-Fall-2026-Tech-Internships</t>
  </si>
  <si>
    <t>Video/Image AI/ML Software Engineer Intern - Multimedia</t>
  </si>
  <si>
    <t>BY TERM</t>
  </si>
  <si>
    <t>San Diego, CA</t>
  </si>
  <si>
    <t>Unknown</t>
  </si>
  <si>
    <t>Apply →  jobs.bytedance.com/en/position/7670354329765464373/detail</t>
  </si>
  <si>
    <t>speedyapply/2027-SWE-College-Jobs</t>
  </si>
  <si>
    <t>source table did not state a season</t>
  </si>
  <si>
    <t>vanshb03/Summer2027-Internships OFFSEASON_README</t>
  </si>
  <si>
    <t>2026-08-06</t>
  </si>
  <si>
    <t>https://github.com/vanshb03/Summer2027-Internships/blob/main/OFFSEASON_README.md</t>
  </si>
  <si>
    <t>Off-cycle</t>
  </si>
  <si>
    <t>zapplyjobs/Internships-2027 (Software Engineering section)</t>
  </si>
  <si>
    <t>94</t>
  </si>
  <si>
    <t>vanshb03/Summer2027-Internships (OFFSEASON_README.md)</t>
  </si>
  <si>
    <t>Spring 2027</t>
  </si>
  <si>
    <t>Software Engineering Intern (Autonomous Vehicles)</t>
  </si>
  <si>
    <t>https://github.com/vanshb03/Summer2027-Internships/blob/dev/OFFSEASON_README.md</t>
  </si>
  <si>
    <t>VISA POSTURE  (F-1)</t>
  </si>
  <si>
    <t>Known high-volume H-1B sponsor</t>
  </si>
  <si>
    <t>Apply →  jobright.ai/jobs/info/6a240e51757ade085b6afa5a</t>
  </si>
  <si>
    <t>jobright-ai/2026-Software-Engineer-Internship</t>
  </si>
  <si>
    <t>https://github.com/jobright-ai/2026-Software-Engineer-Internship</t>
  </si>
  <si>
    <t>CPT/OPT routine here</t>
  </si>
  <si>
    <t>No restriction stated in posting</t>
  </si>
  <si>
    <t>GodlyDonuts/keryx (unscheduled)</t>
  </si>
  <si>
    <t>2026-06-17</t>
  </si>
  <si>
    <t>Not stated — verify first</t>
  </si>
  <si>
    <t>https://github.com/GodlyDonuts/keryx/blob/main/internships/unscheduled.md</t>
  </si>
  <si>
    <t>Strong CV match; repo last updated 2026-06-17 - verify still open</t>
  </si>
  <si>
    <t>Posting states no sponsorship</t>
  </si>
  <si>
    <t>Built In San Francisco</t>
  </si>
  <si>
    <t>deprioritised in Fit score</t>
  </si>
  <si>
    <t>Citizenship / clearance required</t>
  </si>
  <si>
    <t>https://www.builtinsf.com/jobs/search/software-engineer-intern</t>
  </si>
  <si>
    <t>0</t>
  </si>
  <si>
    <t>292 such rows were removed before delivery</t>
  </si>
  <si>
    <t>TOP EMPLOYERS BY OPENING COUNT</t>
  </si>
  <si>
    <t>Software Engineering Intern, Robot Learning Platform</t>
  </si>
  <si>
    <t>Apply →  nvidia.wd5.myworkdayjobs.com/NVIDIAExternalCareerSite/job/</t>
  </si>
  <si>
    <t>Simplify Jobs - Big Tech Internships</t>
  </si>
  <si>
    <t>Tesla</t>
  </si>
  <si>
    <t>https://simplify.jobs/l/Big-Tech-Internships</t>
  </si>
  <si>
    <t>Susquehanna (SIG)</t>
  </si>
  <si>
    <t>DereC4/internships-and-newgrad</t>
  </si>
  <si>
    <t>2026-04-22</t>
  </si>
  <si>
    <t>vanshb03/Summer2027-Internships OFFSEASON_README (dev)</t>
  </si>
  <si>
    <t>Robot learning platform - CV/robotics relevant</t>
  </si>
  <si>
    <t>Palantir</t>
  </si>
  <si>
    <t>ApplyGuy/2027-Internships data/internships.json</t>
  </si>
  <si>
    <t>https://github.com/ApplyGuy/2027-Internships/blob/main/data/internships.json</t>
  </si>
  <si>
    <t>Jane Street</t>
  </si>
  <si>
    <t>Microsoft</t>
  </si>
  <si>
    <t>skarazan/southeast-tech-internships-2026-2027</t>
  </si>
  <si>
    <t>Software Engineering Intern, Robot Learning Platform - Fall 2026</t>
  </si>
  <si>
    <t>Not specified</t>
  </si>
  <si>
    <t>Palantir Technologies</t>
  </si>
  <si>
    <t>NVIDIA Workday careers</t>
  </si>
  <si>
    <t>https://nvidia.wd5.myworkdayjobs.com/en-US/NVIDIAExternalCareerSite</t>
  </si>
  <si>
    <t>Apply →  nvidia.wd5.myworkdayjobs.com/en-US/NVIDIAExternalCareerSit</t>
  </si>
  <si>
    <t>Optiver</t>
  </si>
  <si>
    <t>Apple</t>
  </si>
  <si>
    <t>GodlyDonuts/keryx (Spring 2027 US Internships)</t>
  </si>
  <si>
    <t>Intel</t>
  </si>
  <si>
    <t>https://github.com/GodlyDonuts/keryx/blob/main/internships/spring-2027.md</t>
  </si>
  <si>
    <t>Robot learning; strong CV/RL fit</t>
  </si>
  <si>
    <t>RTX</t>
  </si>
  <si>
    <t>Jump Trading</t>
  </si>
  <si>
    <t>Simplify Jobs - Bay Area Internships</t>
  </si>
  <si>
    <t>https://simplify.jobs/l/Internships-in-SF-Bay-Area</t>
  </si>
  <si>
    <t>Uline</t>
  </si>
  <si>
    <t>Systems Software Engineer Intern, Metropolis</t>
  </si>
  <si>
    <t>Meta</t>
  </si>
  <si>
    <t>Greenhouse job board (Together AI)</t>
  </si>
  <si>
    <t>https://job-boards.greenhouse.io/togetherai</t>
  </si>
  <si>
    <t>2026-05-14</t>
  </si>
  <si>
    <t>GodlyDonuts/keryx (Summer 2027 US Internships)</t>
  </si>
  <si>
    <t>NVIDIA vision AI platform, CV-relevant; page said apps open til May 17 2026 - verify</t>
  </si>
  <si>
    <t>https://github.com/GodlyDonuts/keryx/blob/main/internships/summer-2027.md</t>
  </si>
  <si>
    <t>Systems Software Engineer Intern, Metropolis - Fall 2026</t>
  </si>
  <si>
    <t>Greenhouse job board (Kodiak)</t>
  </si>
  <si>
    <t>https://job-boards.greenhouse.io/kodiak</t>
  </si>
  <si>
    <t>zapplyjobs/Internships-2027 (Data Science &amp; AI section)</t>
  </si>
  <si>
    <t>Metropolis = NVIDIA vision AI platform; top CV fit</t>
  </si>
  <si>
    <t>Simplify Jobs - Top Summer Internships 2027</t>
  </si>
  <si>
    <t>https://simplify.jobs/l/Top-Summer-Internships-2027</t>
  </si>
  <si>
    <t>88</t>
  </si>
  <si>
    <t>Netflix</t>
  </si>
  <si>
    <t>Video Algorithms Intern - Video Coding - Gaussian Splatting - Fall 2026</t>
  </si>
  <si>
    <t>Los Gatos, CA</t>
  </si>
  <si>
    <t>Greenhouse job board (Verkada)</t>
  </si>
  <si>
    <t>https://job-boards.greenhouse.io/verkada</t>
  </si>
  <si>
    <t>Apply →  netflix.wd108.myworkdayjobs.com/en-US/netflix/job/Los-Gato</t>
  </si>
  <si>
    <t>Built In</t>
  </si>
  <si>
    <t>https://builtin.com/job/software-engineer-intern-summer-2027-chicago/10031680</t>
  </si>
  <si>
    <t>2026-04-28</t>
  </si>
  <si>
    <t>CV-relevant: Gaussian splatting</t>
  </si>
  <si>
    <t>Greenhouse job board (Figure AI)</t>
  </si>
  <si>
    <t>https://job-boards.greenhouse.io/figureai</t>
  </si>
  <si>
    <t>Research Scientist Intern, TikTok Search / Generative AI LLM</t>
  </si>
  <si>
    <t>Skydio careers site</t>
  </si>
  <si>
    <t>https://www.skydio.com/careers</t>
  </si>
  <si>
    <t>Apply →  lifeattiktok.com/search/7629250876813642037</t>
  </si>
  <si>
    <t>Greenhouse job board (Nuro)</t>
  </si>
  <si>
    <t>https://boards-api.greenhouse.io/v1/boards/nuro/jobs</t>
  </si>
  <si>
    <t>PhD-level; 2027 start</t>
  </si>
  <si>
    <t>vanshb03/Summer2027-Internships README (dev)</t>
  </si>
  <si>
    <t>87</t>
  </si>
  <si>
    <t>https://github.com/vanshb03/Summer2027-Internships/blob/dev/README.md</t>
  </si>
  <si>
    <t>Agentic AI Solution Engineering Intern - Fall 2026</t>
  </si>
  <si>
    <t>Austin, TX</t>
  </si>
  <si>
    <t>vanshb03/Summer2027-Internships README</t>
  </si>
  <si>
    <t>https://github.com/vanshb03/Summer2027-Internships/blob/main/README.md</t>
  </si>
  <si>
    <t>Ashby job board (Saronic Technologies)</t>
  </si>
  <si>
    <t>https://jobs.ashbyhq.com/saronic</t>
  </si>
  <si>
    <t>Ashby job board (Rivian VW Group Technologies)</t>
  </si>
  <si>
    <t>https://jobs.ashbyhq.com/rivianvw.tech</t>
  </si>
  <si>
    <t>Applied Deep Learning PhD Research Intern, Reinforcement Learning for LLMs</t>
  </si>
  <si>
    <t>Ashby job board (Deepgram)</t>
  </si>
  <si>
    <t>Apply →  nvidia.wd5.myworkdayjobs.com/en-US/nvidiaexternalcareersit</t>
  </si>
  <si>
    <t>https://jobs.ashbyhq.com/deepgram</t>
  </si>
  <si>
    <t>Built In Boston</t>
  </si>
  <si>
    <t>https://www.builtinboston.com/job/summer-2027-intern-software-engineer/9287543</t>
  </si>
  <si>
    <t>PhD-level; RL for LLMs</t>
  </si>
  <si>
    <t>Ashby job board (Etched)</t>
  </si>
  <si>
    <t>https://jobs.ashbyhq.com/etched</t>
  </si>
  <si>
    <t>Applied Research Intern, NLP - Fall 2026</t>
  </si>
  <si>
    <t>Greenhouse job board (NPR)</t>
  </si>
  <si>
    <t>https://job-boards.greenhouse.io/nationalpublicradioinc</t>
  </si>
  <si>
    <t>Greenhouse job board (Samsung Research America Internships)</t>
  </si>
  <si>
    <t>https://job-boards.greenhouse.io/samsungresearchamericainternship</t>
  </si>
  <si>
    <t>2026-07-01</t>
  </si>
  <si>
    <t>NLP applied research</t>
  </si>
  <si>
    <t>Greenhouse job board (StackAdapt)</t>
  </si>
  <si>
    <t>https://job-boards.greenhouse.io/stackadapt-confidential/jobs/4236607009</t>
  </si>
  <si>
    <t>GodlyDonuts/keryx (Winter 2027 US Internships)</t>
  </si>
  <si>
    <t>https://github.com/GodlyDonuts/keryx/blob/main/internships/winter-2027.md</t>
  </si>
  <si>
    <t>Software Engineering Intern - JAX - Fall 2026</t>
  </si>
  <si>
    <t>Capital One Workday careers</t>
  </si>
  <si>
    <t>https://capitalone.wd12.myworkdayjobs.com/en-US/Capital_One</t>
  </si>
  <si>
    <t>Greenhouse job board (DV Trading)</t>
  </si>
  <si>
    <t>https://job-boards.greenhouse.io/dvtrading/jobs/4719118005</t>
  </si>
  <si>
    <t>2026-06-15</t>
  </si>
  <si>
    <t>$62/hr; JAX/ML compiler</t>
  </si>
  <si>
    <t>Ciena Workday careers</t>
  </si>
  <si>
    <t>https://ciena.wd5.myworkdayjobs.com/en-US/Careers</t>
  </si>
  <si>
    <t>Software Engineering Intern, AI Tools - Fall 2026</t>
  </si>
  <si>
    <t>Greenhouse job board (HP IQ)</t>
  </si>
  <si>
    <t>https://job-boards.greenhouse.io/hpiq/jobs/5622472004</t>
  </si>
  <si>
    <t>Ashby job board (Junior AI)</t>
  </si>
  <si>
    <t>https://jobs.ashbyhq.com/junior</t>
  </si>
  <si>
    <t>Software Engineering Intern, Dynamo - Fall 2026</t>
  </si>
  <si>
    <t>Ashby job board (Revise Robotics)</t>
  </si>
  <si>
    <t>https://jobs.ashbyhq.com/reviserobotics</t>
  </si>
  <si>
    <t>Ashby job board (Sunday Robotics)</t>
  </si>
  <si>
    <t>https://jobs.ashbyhq.com/sunday</t>
  </si>
  <si>
    <t>Dynamo LLM inference stack</t>
  </si>
  <si>
    <t>Ashby job board (Zip)</t>
  </si>
  <si>
    <t>https://jobs.ashbyhq.com/zip</t>
  </si>
  <si>
    <t>TOTAL (pre-dedupe raw rows harvested: 3,742)</t>
  </si>
  <si>
    <t>Apply →  applyguy.ai/jobs?company=NVIDIA&amp;job=6b556750-92e8-4d68-877</t>
  </si>
  <si>
    <t>Dynamo LLM serving team</t>
  </si>
  <si>
    <t>86</t>
  </si>
  <si>
    <t>Quantum Error Correction Research Scientist Intern</t>
  </si>
  <si>
    <t>Remote (US)</t>
  </si>
  <si>
    <t>$62/hr</t>
  </si>
  <si>
    <t>Quantum Research Scientist Intern - Fall 2026</t>
  </si>
  <si>
    <t>2026-05-27</t>
  </si>
  <si>
    <t>Synthetic Data Generation and User Simulation PhD Research Intern - Fall 2026</t>
  </si>
  <si>
    <t>83</t>
  </si>
  <si>
    <t>Research Scientist Intern - Applied Vision and Image Quality - PhD</t>
  </si>
  <si>
    <t>Redmond, WA</t>
  </si>
  <si>
    <t>Apply →  metacareers.com/jobs/1422892385992613</t>
  </si>
  <si>
    <t>2026-05-20</t>
  </si>
  <si>
    <t>PhD-level; strong CV match</t>
  </si>
  <si>
    <t>Research Scientist Intern - Machine Perception for Input and Interaction - PhD</t>
  </si>
  <si>
    <t>Apply →  metacareers.com/jobs/779670167783218</t>
  </si>
  <si>
    <t>2026-05-06</t>
  </si>
  <si>
    <t>PhD-level; machine perception, CV match</t>
  </si>
  <si>
    <t>Research Scientist Intern, 3D Vision &amp; World Simulation</t>
  </si>
  <si>
    <t>Apply →  metacareers.com/jobs/2839011673109571</t>
  </si>
  <si>
    <t>PhD-level; 3D vision - highly CV-relevant</t>
  </si>
  <si>
    <t>PhD Research Intern, Security and Privacy - Fall 2026</t>
  </si>
  <si>
    <t>zapply visa col: H-1B Co.; age 1mo; PhD-level</t>
  </si>
  <si>
    <t>Quantum Research Scientist Intern</t>
  </si>
  <si>
    <t>2026-05-19</t>
  </si>
  <si>
    <t>Machine Learning Engineer Intern - Data Search - Visual Search</t>
  </si>
  <si>
    <t>Apply →  lifeattiktok.com/search/7667349591727278341</t>
  </si>
  <si>
    <t>2026-08-04</t>
  </si>
  <si>
    <t>Masters/PhD-level role; term not stated in listing</t>
  </si>
  <si>
    <t>Research Intern - Video Data Compression</t>
  </si>
  <si>
    <t>Apply →  jobs.bytedance.com/en/position/7538674634397813010/detail</t>
  </si>
  <si>
    <t>Video codecs; CV-relevant</t>
  </si>
  <si>
    <t>82</t>
  </si>
  <si>
    <t>Software Engineer Intern, Dynamo</t>
  </si>
  <si>
    <t>Apply →  simplify.jobs/p/2ccc5c31-d719-47e7-ab38-b42010d3a585/Softw</t>
  </si>
  <si>
    <t>LLM inference infra; $20-71/hr</t>
  </si>
  <si>
    <t>81</t>
  </si>
  <si>
    <t>Citadel Securities</t>
  </si>
  <si>
    <t>Machine Learning Researcher PhD Intern</t>
  </si>
  <si>
    <t>Chicago, IL; New York, NY</t>
  </si>
  <si>
    <t>Apply →  citadelsecurities.com/careers/details/machine-learning-res</t>
  </si>
  <si>
    <t>PhD only</t>
  </si>
  <si>
    <t>Machine Learning Engineer Intern</t>
  </si>
  <si>
    <t>New York, NY</t>
  </si>
  <si>
    <t>Apply →  janestreet.com/join-jane-street/position/8611307002/</t>
  </si>
  <si>
    <t>2026-07-24</t>
  </si>
  <si>
    <t>Machine Learning Researcher Intern</t>
  </si>
  <si>
    <t>Apply →  janestreet.com/join-jane-street/position/8384490002/</t>
  </si>
  <si>
    <t>Research Scientist Intern - Multi-modal Agentic Databases</t>
  </si>
  <si>
    <t>Apply →  jobs.bytedance.com/en/position/7667380184615127301/detail</t>
  </si>
  <si>
    <t>Multi-modal; CV-relevant</t>
  </si>
  <si>
    <t>Research Scientist Intern - Multimedia Streaming</t>
  </si>
  <si>
    <t>Apply →  simplify.jobs/p/50940dc5-4b2f-4f49-983e-f589769f3848/Resea</t>
  </si>
  <si>
    <t>Video/multimedia - CV-adjacent</t>
  </si>
  <si>
    <t>Software Engineer Intern - Agentic Creation-Effect Platform</t>
  </si>
  <si>
    <t>Apply →  lifeattiktok.com/search/7668445566565321013</t>
  </si>
  <si>
    <t>Agentic + AR effects; CV-adjacent</t>
  </si>
  <si>
    <t>Software Engineer Intern - Effects Performance</t>
  </si>
  <si>
    <t>Apply →  lifeattiktok.com/search/7668725183121000757</t>
  </si>
  <si>
    <t>AR effects performance; CV-relevant</t>
  </si>
  <si>
    <t>Software Engineer Intern - Intelligent Creation-Camera</t>
  </si>
  <si>
    <t>Apply →  lifeattiktok.com/search/7668862422178318597</t>
  </si>
  <si>
    <t>Camera/imaging team; strong CV match</t>
  </si>
  <si>
    <t>Student Researcher, Vision Foundation Model</t>
  </si>
  <si>
    <t>Apply →  joinbytedance.com/search/7623544831999346997</t>
  </si>
  <si>
    <t>CV-relevant: vision foundation models</t>
  </si>
  <si>
    <t>Two Sigma</t>
  </si>
  <si>
    <t>AI Research Scientist Intern - MS / PhD</t>
  </si>
  <si>
    <t>Apply →  careers.twosigma.com/careers/JobDetail/New-York-New-York-U</t>
  </si>
  <si>
    <t>80</t>
  </si>
  <si>
    <t>Skydio</t>
  </si>
  <si>
    <t>Autonomy Engineer Intern - Computer Vision/Deep Learning Fall 2026</t>
  </si>
  <si>
    <t>San Mateo, CA</t>
  </si>
  <si>
    <t>Not stated — verify on the posting before investing time</t>
  </si>
  <si>
    <t>Apply →  skydio.com/jobs/c84945f0-b8e0-4272-b636-265d6611a8eb</t>
  </si>
  <si>
    <t>Direct CV/deep-learning role; best-fit posting</t>
  </si>
  <si>
    <t>79</t>
  </si>
  <si>
    <t>Pinterest</t>
  </si>
  <si>
    <t>Machine Learning Intern, ATG Visual, Multimodal and Recommender Systems (PhD)</t>
  </si>
  <si>
    <t>San Francisco, CA; Palo Alto, CA; Seattle, WA; New York, NY</t>
  </si>
  <si>
    <t>Apply →  pinterestcareers.com/jobs/7255640/phd-fall-machine-learnin</t>
  </si>
  <si>
    <t>2026-04-20</t>
  </si>
  <si>
    <t>PhD-targeted; visual/multimodal - CV-relevant</t>
  </si>
  <si>
    <t>77</t>
  </si>
  <si>
    <t>Citadel</t>
  </si>
  <si>
    <t>Quantitative Researcher PhD Intern</t>
  </si>
  <si>
    <t>Apply →  citadel.com/careers/details/quantitative-researcher-phd-in</t>
  </si>
  <si>
    <t>Quantitative Trader / Equities Quantitative Research Intern</t>
  </si>
  <si>
    <t>Apply →  citadel.com/careers/details/quantitative-trader-equities-q</t>
  </si>
  <si>
    <t>Quantitative Research Analyst Intern</t>
  </si>
  <si>
    <t>Apply →  citadelsecurities.com/careers/details/quantitative-researc</t>
  </si>
  <si>
    <t>Quantitative Research Engineer PhD Intern</t>
  </si>
  <si>
    <t>Hudson River Trading</t>
  </si>
  <si>
    <t>Algorithm Development Quant Research Intern</t>
  </si>
  <si>
    <t>Apply →  hudsonrivertrading.com/hrt-job/algorithm-development-quant</t>
  </si>
  <si>
    <t>Apply →  hudsonrivertrading.com/careers/job/?gh_jid=8059837</t>
  </si>
  <si>
    <t>Fundamental Research Analyst Intern</t>
  </si>
  <si>
    <t>Apply →  janestreet.com/join-jane-street/position/8347286002/</t>
  </si>
  <si>
    <t>Tools and Compilers Research and Development Intern</t>
  </si>
  <si>
    <t>Apply →  janestreet.com/join-jane-street/position/5869205002/</t>
  </si>
  <si>
    <t>Modal</t>
  </si>
  <si>
    <t>ML Research Intern</t>
  </si>
  <si>
    <t>New York, NY; San Francisco, CA</t>
  </si>
  <si>
    <t>Apply →  jobs.ashbyhq.com/modal/38888294-6bc7-4dab-b072-6d0f0c2ed79</t>
  </si>
  <si>
    <t>76</t>
  </si>
  <si>
    <t>Generative AI Researcher Intern - Intelligent Creation-Vision and Graphics</t>
  </si>
  <si>
    <t>Apply →  lifeattiktok.com/search/7668183035989281029</t>
  </si>
  <si>
    <t>Software Engineer Project Intern - Recommendation Infrastructure - TikTok Video Social - 2026 Start</t>
  </si>
  <si>
    <t>Apply →  lifeattiktok.com/search/7629500062003218741</t>
  </si>
  <si>
    <t>$60/hr; recsys infra</t>
  </si>
  <si>
    <t>75</t>
  </si>
  <si>
    <t>PathAI</t>
  </si>
  <si>
    <t>Machine Learning Intern, AI Product and ML Core</t>
  </si>
  <si>
    <t>Boston, MA; New York, NY; Remote (US)</t>
  </si>
  <si>
    <t>Apply →  pathai.com/career/job-post?gh_jid=8202342002</t>
  </si>
  <si>
    <t>Pathology imaging - strongly CV-relevant</t>
  </si>
  <si>
    <t>74</t>
  </si>
  <si>
    <t>Amazon</t>
  </si>
  <si>
    <t>Amazon Industrial Robotics - Applied Scientist II Intern / Co-op - 2026</t>
  </si>
  <si>
    <t>North Reading, MA</t>
  </si>
  <si>
    <t>Apply →  amazon.jobs/en/jobs/3132414/amazon-industrial-robotics-app</t>
  </si>
  <si>
    <t>2025-11-25</t>
  </si>
  <si>
    <t>Applied Scientist; CV-relevant</t>
  </si>
  <si>
    <t>Robotics - Software Development Engineer Intern/Co-op - 2026</t>
  </si>
  <si>
    <t>Westboro, WI</t>
  </si>
  <si>
    <t>Apply →  amazon.jobs/en/jobs/3136266/robotics-software-development-</t>
  </si>
  <si>
    <t>2025-12-03</t>
  </si>
  <si>
    <t>Robotics; older posting</t>
  </si>
  <si>
    <t>Internship, Software Engineer (Robotaxi)</t>
  </si>
  <si>
    <t>Palo Alto, CA</t>
  </si>
  <si>
    <t>Apply →  jobright.ai/jobs/info/6a2a2793495d985b994274cb</t>
  </si>
  <si>
    <t>Robotaxi - strong CV match; verify still open</t>
  </si>
  <si>
    <t>Physics Engine Development Intern - Optimus</t>
  </si>
  <si>
    <t>Apply →  tesla.com/careers/search/job/257048</t>
  </si>
  <si>
    <t>Optimus humanoid robot team</t>
  </si>
  <si>
    <t>Systems Modeling &amp; Optimization Intern - Robotaxi Simulation Engineer</t>
  </si>
  <si>
    <t>Apply →  tesla.com/careers/search/job/273933</t>
  </si>
  <si>
    <t>Robotaxi simulation; strong CV fit</t>
  </si>
  <si>
    <t>AI Product Manager Intern - Content Ecosystem</t>
  </si>
  <si>
    <t>Apply →  lifeattiktok.com/search/7667578131150506293</t>
  </si>
  <si>
    <t>AI PM role; strong fit for founder+AI background</t>
  </si>
  <si>
    <t>Applied Scientist Intern, Business Integrity</t>
  </si>
  <si>
    <t>Apply →  lifeattiktok.com/search/7631063087262419205</t>
  </si>
  <si>
    <t>Applied Scientist Intern, Monetization GenAI</t>
  </si>
  <si>
    <t>Apply →  lifeattiktok.com/search/7631062649025857797</t>
  </si>
  <si>
    <t>Applied Scientist Intern, Monetization Technology</t>
  </si>
  <si>
    <t>Apply →  lifeattiktok.com/search/7629248119245261061</t>
  </si>
  <si>
    <t>GPU/AI Application System Software Engineer Intern - System Technologies and Engineering</t>
  </si>
  <si>
    <t>Apply →  jobs.bytedance.com/en/position/7668464504736876853/detail</t>
  </si>
  <si>
    <t>LLM Post-training Engineer Intern, Research &amp; Product</t>
  </si>
  <si>
    <t>Apply →  lifeattiktok.com/search/7631599293708126517</t>
  </si>
  <si>
    <t>2026-04-24</t>
  </si>
  <si>
    <t>Machine Learning Engineer Intern - Ads Signal &amp; Measurement</t>
  </si>
  <si>
    <t>Apply →  lifeattiktok.com/search/7669700361976809733</t>
  </si>
  <si>
    <t>Machine Learning Engineer Intern - App Ads and Gaming</t>
  </si>
  <si>
    <t>Apply →  lifeattiktok.com/search/7669709472078170373</t>
  </si>
  <si>
    <t>Machine Learning Engineer Intern - Commerce Ads</t>
  </si>
  <si>
    <t>Apply →  lifeattiktok.com/search/7669711968043092229</t>
  </si>
  <si>
    <t>Machine Learning Engineer Intern - Commercial AI-CRM and Transaction</t>
  </si>
  <si>
    <t>Apply →  lifeattiktok.com/search/7669702702763018501</t>
  </si>
  <si>
    <t>Machine Learning Engineer Intern - Data Search Recommendation, Global E-Commerce</t>
  </si>
  <si>
    <t>Apply →  lifeattiktok.com/search/7668383643375257909</t>
  </si>
  <si>
    <t>Machine Learning Engineer Intern - Data, Global E-Commerce Search</t>
  </si>
  <si>
    <t>Apply →  lifeattiktok.com/search/7668415591670417717</t>
  </si>
  <si>
    <t>2026-08-05</t>
  </si>
  <si>
    <t>Machine Learning Engineer Intern - Lead Ads</t>
  </si>
  <si>
    <t>Apply →  lifeattiktok.com/search/7669707492914727221</t>
  </si>
  <si>
    <t>Machine Learning Engineer Intern - Performance Monetization</t>
  </si>
  <si>
    <t>Apply →  lifeattiktok.com/search/7669693163422845237</t>
  </si>
  <si>
    <t>Machine Learning Engineer Intern - Recommendation</t>
  </si>
  <si>
    <t>Apply →  lifeattiktok.com/search/7662653087863081221</t>
  </si>
  <si>
    <t>Machine Learning Engineer Intern - Search</t>
  </si>
  <si>
    <t>Apply →  lifeattiktok.com/search/7668396597746862341</t>
  </si>
  <si>
    <t>Machine Learning Engineer Intern - Search Ads</t>
  </si>
  <si>
    <t>Apply →  lifeattiktok.com/search/7669698648817305909</t>
  </si>
  <si>
    <t>Machine Learning Engineer Intern - Trust and Safety</t>
  </si>
  <si>
    <t>Apply →  lifeattiktok.com/search/7662672554084059445</t>
  </si>
  <si>
    <t>Recommendation Product Manager Intern - Content Ecosystem</t>
  </si>
  <si>
    <t>Apply →  lifeattiktok.com/search/7667874197682899205</t>
  </si>
  <si>
    <t>PM role</t>
  </si>
  <si>
    <t>Research Scientist Intern - Content Intelligence</t>
  </si>
  <si>
    <t>Apply →  lifeattiktok.com/search/7662662842545539381</t>
  </si>
  <si>
    <t>Content understanding; CV-relevant</t>
  </si>
  <si>
    <t>Apply →  jobs.bytedance.com/en/position/7667380487805995269/detail</t>
  </si>
  <si>
    <t>Research Scientist Intern, E-commerce Recommendation LLM Applications</t>
  </si>
  <si>
    <t>Apply →  lifeattiktok.com/search/7629187524074342709</t>
  </si>
  <si>
    <t>Apply →  lifeattiktok.com/search/7629188397976586501</t>
  </si>
  <si>
    <t>Research Scientist Intern, TikTok Recommendation NextGen LLM</t>
  </si>
  <si>
    <t>Apply →  lifeattiktok.com/search/7633668061979543813</t>
  </si>
  <si>
    <t>Software Engineer Intern - AI Infra Compute</t>
  </si>
  <si>
    <t>Apply →  jobs.bytedance.com/en/position/7667378931599214853</t>
  </si>
  <si>
    <t>Software Engineer Intern - AI Infrastructure Compute</t>
  </si>
  <si>
    <t>Apply →  jobs.bytedance.com/en/position/7667377525182662965</t>
  </si>
  <si>
    <t>Software Engineer Intern - AI Platform</t>
  </si>
  <si>
    <t>Apply →  jobs.bytedance.com/en/position/7668212952030841093</t>
  </si>
  <si>
    <t>AI Research Scientist Intern - 2027 Summer</t>
  </si>
  <si>
    <t>NYC</t>
  </si>
  <si>
    <t>Apply →  twosigma.avature.net/careers/JobDetail/14096</t>
  </si>
  <si>
    <t>2026-08-02</t>
  </si>
  <si>
    <t>73</t>
  </si>
  <si>
    <t>Nuro</t>
  </si>
  <si>
    <t>Data Scientist Intern</t>
  </si>
  <si>
    <t>Mountain View, CA</t>
  </si>
  <si>
    <t>Apply →  nuro.ai/careersitem?gh_jid=7594577</t>
  </si>
  <si>
    <t>Autonomous vehicles; repo marks sponsor</t>
  </si>
  <si>
    <t>Software Engineer, AI Platform - Intern</t>
  </si>
  <si>
    <t>Apply →  nuro.ai/careersitem?gh_jid=7351061</t>
  </si>
  <si>
    <t>Autonomous vehicles; CV-relevant; term not stated</t>
  </si>
  <si>
    <t>Zoox</t>
  </si>
  <si>
    <t>Triage Student Worker - ASTE</t>
  </si>
  <si>
    <t>Foster City, CA</t>
  </si>
  <si>
    <t>Apply →  jobs.lever.co/zoox/737259b5-4258-4557-b7e0-0627b3d870a5/ap</t>
  </si>
  <si>
    <t>Autonomous vehicles; CV-adjacent</t>
  </si>
  <si>
    <t>72</t>
  </si>
  <si>
    <t>Intuitive Surgical</t>
  </si>
  <si>
    <t>Computer Vision Engineering Intern - Fall 2026</t>
  </si>
  <si>
    <t>Sunnyvale, CA</t>
  </si>
  <si>
    <t>Apply →  jobs.smartrecruiters.com/Intuitive/744000133458290</t>
  </si>
  <si>
    <t>2026-06-22</t>
  </si>
  <si>
    <t>Strong CV match: surgical robotics vision</t>
  </si>
  <si>
    <t>Research Scientist Intern - Photorealism</t>
  </si>
  <si>
    <t>Apply →  metacareers.com/jobs/924149567345400</t>
  </si>
  <si>
    <t>Photorealistic rendering/avatars; strong CV match</t>
  </si>
  <si>
    <t>70</t>
  </si>
  <si>
    <t>Figure AI</t>
  </si>
  <si>
    <t>Firmware Intern (Fall 2026)</t>
  </si>
  <si>
    <t>Apply →  job-boards.greenhouse.io/figureai/jobs/4691070006</t>
  </si>
  <si>
    <t>Humanoid robotics company</t>
  </si>
  <si>
    <t>Machine Learning Intern / Co-op - Fall 2026</t>
  </si>
  <si>
    <t>Boston, MA</t>
  </si>
  <si>
    <t>Apply →  pathai.com/careers/8202342002?gh_jid=8202342002</t>
  </si>
  <si>
    <t>CV-relevant: pathology imaging; visa sponsor</t>
  </si>
  <si>
    <t>Middleware Software Engineer Intern - Fall 2026</t>
  </si>
  <si>
    <t>Apply →  jobs.ashbyhq.com/skydio/7d9dbb60-4ca1-4ba8-8bae-5ebfded4a9</t>
  </si>
  <si>
    <t>2026-05-21</t>
  </si>
  <si>
    <t>Autonomous drones; CV-adjacent</t>
  </si>
  <si>
    <t>Software Engineer Intern Fall 2026/Winter 2027</t>
  </si>
  <si>
    <t>Apply →  jobs.ashbyhq.com/skydio/f6320e9b-4eed-408d-8d37-d509fb0406</t>
  </si>
  <si>
    <t>2026-05-05</t>
  </si>
  <si>
    <t>Sony</t>
  </si>
  <si>
    <t>Research Intern on Generative and Protective AI for Content Creation</t>
  </si>
  <si>
    <t>Remote (US); Michigan</t>
  </si>
  <si>
    <t>Apply →  sonyglobal.wd1.myworkdayjobs.com/en-US/sonyglobalcareers/j</t>
  </si>
  <si>
    <t>2026-06-09</t>
  </si>
  <si>
    <t>CV-relevant: generative content AI</t>
  </si>
  <si>
    <t>Remote (US); New York, NY</t>
  </si>
  <si>
    <t>Apply →  sonyglobal.wd1.myworkdayjobs.com/sonyglobalcareers/job/Rem</t>
  </si>
  <si>
    <t>zapply visa col: blank; age 1mo</t>
  </si>
  <si>
    <t>Research Intern, Generative and Protective AI for Content Creation</t>
  </si>
  <si>
    <t>Generative AI - CV-relevant</t>
  </si>
  <si>
    <t>Research Intern, Vision Foundation Model and Generative AI</t>
  </si>
  <si>
    <t>Top CV match: vision foundation models, remote MD</t>
  </si>
  <si>
    <t>Data Scientist Intern - VOD Data</t>
  </si>
  <si>
    <t>Apply →  lifeattiktok.com/search/7670287013157095733</t>
  </si>
  <si>
    <t>Research Scientist Intern - Monetization Technology, Business Integrity</t>
  </si>
  <si>
    <t>Apply →  lifeattiktok.com/search/7668204438271969589</t>
  </si>
  <si>
    <t>Research Scientist Intern - Trust and Safety</t>
  </si>
  <si>
    <t>Apply →  lifeattiktok.com/search/7662672903447988485</t>
  </si>
  <si>
    <t>69</t>
  </si>
  <si>
    <t>Robotics Software Development Engineer Intern/Co-op</t>
  </si>
  <si>
    <t>Multiple Locations</t>
  </si>
  <si>
    <t>2026-05-09</t>
  </si>
  <si>
    <t>Research Scientist Intern - State Estimation</t>
  </si>
  <si>
    <t>Apply →  metacareers.com/jobs/2774289902955470</t>
  </si>
  <si>
    <t>SLAM/state estimation; strong CV match</t>
  </si>
  <si>
    <t>DGX Cloud Kubernetes Runtime Intern - Fall 2026</t>
  </si>
  <si>
    <t>2026-07-05</t>
  </si>
  <si>
    <t>Performance Engineer Intern, Systems Software - Fall 2026</t>
  </si>
  <si>
    <t>St. Louis, MO</t>
  </si>
  <si>
    <t>2026-07-06</t>
  </si>
  <si>
    <t>PhD Software Engineering Intern, Decision Intelligence - Fall 2026</t>
  </si>
  <si>
    <t>Software Engineering Intern, JAX - Fall 2026</t>
  </si>
  <si>
    <t>67</t>
  </si>
  <si>
    <t>Annapurna Labs at AWS Internship, Machine Learning Systems &amp; Silicon Innovation</t>
  </si>
  <si>
    <t>Cupertino, CA</t>
  </si>
  <si>
    <t>Apply →  amazon.jobs/jobs/10400153/apply</t>
  </si>
  <si>
    <t>ML systems/silicon; $53/hr</t>
  </si>
  <si>
    <t>Software Engineer: AI/ML &amp; LLM Intern</t>
  </si>
  <si>
    <t>Apply →  apply.careers.microsoft.com/careers/job/1970393556922929</t>
  </si>
  <si>
    <t>LLM-focused</t>
  </si>
  <si>
    <t>AI/ML Scientist Intern, AIMS AI Foundations</t>
  </si>
  <si>
    <t>Apply →  explore.jobs.netflix.net/careers/job/790316547536</t>
  </si>
  <si>
    <t>PhD-level; $63/hr</t>
  </si>
  <si>
    <t>Internship, Charging Data Modeling, Machine Learning Engineer (Fall 2026)</t>
  </si>
  <si>
    <t>Apply →  tesla.com/careers/search/job/278249</t>
  </si>
  <si>
    <t>$104K-122K</t>
  </si>
  <si>
    <t>Internship, Software Compiler Engineer, AI Inference (Fall 2026 or Winter 2027)</t>
  </si>
  <si>
    <t>Apply →  tesla.com/careers/search/job/278847</t>
  </si>
  <si>
    <t>$100K-150K; AI inference compilers</t>
  </si>
  <si>
    <t>Internship, Software Engineer, AI Infrastructure (Fall 2026)</t>
  </si>
  <si>
    <t>Apply →  tesla.com/careers/search/job/278578</t>
  </si>
  <si>
    <t>$100K-150K</t>
  </si>
  <si>
    <t>Software Engineer Intern - AI Data Infrastructure</t>
  </si>
  <si>
    <t>Apply →  tesla.com/careers/search/job/269829</t>
  </si>
  <si>
    <t>Applied Scientist Intern, Recommendation AI Lab</t>
  </si>
  <si>
    <t>Apply →  lifeattiktok.com/search/7659527183984019765</t>
  </si>
  <si>
    <t>PhD-level; 2026 start; $60/hr</t>
  </si>
  <si>
    <t>General Hire Machine Learning Engineer Intern, TikTok Recommendation (BS/MS)</t>
  </si>
  <si>
    <t>Apply →  lifeattiktok.com/search/7625929879091300613</t>
  </si>
  <si>
    <t>BS/MS eligible; $60/hr</t>
  </si>
  <si>
    <t>General Hire Research Scientist Intern, TikTok Recommendation</t>
  </si>
  <si>
    <t>Apply →  lifeattiktok.com/search/7625928030560700725</t>
  </si>
  <si>
    <t>PhD-level; 2026 start</t>
  </si>
  <si>
    <t>Machine Learning Engineer Intern - Data Search Local Service</t>
  </si>
  <si>
    <t>Apply →  lifeattiktok.com/search/7668381860191734021</t>
  </si>
  <si>
    <t>Machine Learning Engineer Intern, App Ads (BS/MS)</t>
  </si>
  <si>
    <t>Apply →  lifeattiktok.com/search/7623166673809770757</t>
  </si>
  <si>
    <t>Machine Learning Scientist Intern, Global E-Commerce Content Recommendation</t>
  </si>
  <si>
    <t>Apply →  lifeattiktok.com/search/7623531249253255429</t>
  </si>
  <si>
    <t>Machine Learning Scientist Intern, TikTok Recommendation</t>
  </si>
  <si>
    <t>Apply →  lifeattiktok.com/search/7625930920206272773</t>
  </si>
  <si>
    <t>Research Engineer Intern - Agentic Systems &amp; AI Infrastructure</t>
  </si>
  <si>
    <t>Apply →  lifeattiktok.com/search/7667935568626043141</t>
  </si>
  <si>
    <t>Research Intern, Efficient ML Engineer, AI Platform</t>
  </si>
  <si>
    <t>Apply →  lifeattiktok.com/search/7642827146549446965</t>
  </si>
  <si>
    <t>Research Scientist Intern - AI Infra Compute</t>
  </si>
  <si>
    <t>Apply →  jobs.bytedance.com/en/position/7667379221434796341/detail</t>
  </si>
  <si>
    <t>Software Engineer Intern - ML Infra</t>
  </si>
  <si>
    <t>Apply →  lifeattiktok.com/search/7668696895234197813</t>
  </si>
  <si>
    <t>Software Engineer Project Intern, Content AI Infrastructure (BS/MS)</t>
  </si>
  <si>
    <t>Apply →  lifeattiktok.com/search/7621299118434961669</t>
  </si>
  <si>
    <t>$60/hr; 2026 start</t>
  </si>
  <si>
    <t>66</t>
  </si>
  <si>
    <t>1X</t>
  </si>
  <si>
    <t>AI Residency Intern</t>
  </si>
  <si>
    <t>San Carlos, CA</t>
  </si>
  <si>
    <t>Apply →  jobs.ashbyhq.com/1x/5b2b4c73-13b5-46ca-8467-8024741a4b57/a</t>
  </si>
  <si>
    <t>2026-07-07</t>
  </si>
  <si>
    <t>Humanoid robotics; CV relevant</t>
  </si>
  <si>
    <t>Software Engineering Co-op MLOps (September - December 2026)</t>
  </si>
  <si>
    <t>Apply →  pathai.com/careers/8651564002?gh_jid=8651564002</t>
  </si>
  <si>
    <t>Digital pathology imaging; strong CV match</t>
  </si>
  <si>
    <t>Pika</t>
  </si>
  <si>
    <t>Research Intern - BS/MS/PhD</t>
  </si>
  <si>
    <t>Apply →  jobs.ashbyhq.com/pika/e135acb1-2a0b-47b4-81b2-3cb0f787657a</t>
  </si>
  <si>
    <t>2026-07-10</t>
  </si>
  <si>
    <t>Video generation; strong CV match</t>
  </si>
  <si>
    <t>Scale AI</t>
  </si>
  <si>
    <t>AI Builder Intern</t>
  </si>
  <si>
    <t>San Francisco, CA</t>
  </si>
  <si>
    <t>Apply →  job-boards.greenhouse.io/scaleai/jobs/4703343005</t>
  </si>
  <si>
    <t>Product Management Intern</t>
  </si>
  <si>
    <t>Apply →  jobs.ashbyhq.com/skydio/1ec2fe3c-3fb2-4485-870d-764a3e5f5b</t>
  </si>
  <si>
    <t>2026-07-31</t>
  </si>
  <si>
    <t>PM at drone/CV company; strong fit</t>
  </si>
  <si>
    <t>Verkada</t>
  </si>
  <si>
    <t>AI Software Engineering Intern - Fall 2026</t>
  </si>
  <si>
    <t>Apply →  job-boards.greenhouse.io/verkada/jobs/5117760007</t>
  </si>
  <si>
    <t>Security camera CV company; strong CV fit; location unverified</t>
  </si>
  <si>
    <t>64</t>
  </si>
  <si>
    <t>Kodiak Robotics</t>
  </si>
  <si>
    <t>Fall 2026 Intern, Perception</t>
  </si>
  <si>
    <t>Apply →  job-boards.greenhouse.io/kodiak/jobs/4174533009</t>
  </si>
  <si>
    <t>Perception team; direct CV fit</t>
  </si>
  <si>
    <t>Obsidian Solutions Group</t>
  </si>
  <si>
    <t>Unity 3D Developer Intern</t>
  </si>
  <si>
    <t>Fredericksburg, VA</t>
  </si>
  <si>
    <t>Apply →  recruiting.paylocity.com/Recruiting/Jobs/Details/4341435</t>
  </si>
  <si>
    <t>2026-07-18</t>
  </si>
  <si>
    <t>Samsung Research America</t>
  </si>
  <si>
    <t>2026 Fall Intern, Computer Vision/AI</t>
  </si>
  <si>
    <t>Apply →  job-boards.greenhouse.io/samsungresearchamericainternship/</t>
  </si>
  <si>
    <t>Strong CV match; 4 locations</t>
  </si>
  <si>
    <t>63</t>
  </si>
  <si>
    <t>Software Engineer Intern</t>
  </si>
  <si>
    <t>New York, NY; 3 more locations</t>
  </si>
  <si>
    <t>Apply →  citadel.com/careers/details/software-engineer-intern-us/</t>
  </si>
  <si>
    <t>Austin, TX; Chicago, IL; New York, NY</t>
  </si>
  <si>
    <t>Apply →  hudsonrivertrading.com/hrt-job/software-engineering-intern</t>
  </si>
  <si>
    <t>Software Engineer Intern - C++ or Python</t>
  </si>
  <si>
    <t>Apply →  hudsonrivertrading.com/careers/job/?gh_jid=8052083</t>
  </si>
  <si>
    <t>2026-07-14</t>
  </si>
  <si>
    <t>Linux Engineer Intern</t>
  </si>
  <si>
    <t>Apply →  janestreet.com/join-jane-street/position/8626260002/</t>
  </si>
  <si>
    <t>Network Engineer Intern</t>
  </si>
  <si>
    <t>Apply →  janestreet.com/join-jane-street/position/8620793002/</t>
  </si>
  <si>
    <t>Apply →  janestreet.com/join-jane-street/position/8599644002/</t>
  </si>
  <si>
    <t>Windows Engineer Intern</t>
  </si>
  <si>
    <t>Apply →  janestreet.com/join-jane-street/position/8628843002/</t>
  </si>
  <si>
    <t>Privacy and Civil Liberties Software Engineer Intern</t>
  </si>
  <si>
    <t>Apply →  jobs.lever.co/palantir/09846827-b931-4a9f-bd64-c3bb8860187</t>
  </si>
  <si>
    <t>Research Engineer Intern - Monetization Technology, Business Integrity</t>
  </si>
  <si>
    <t>Apply →  lifeattiktok.com/search/7668204394458466565</t>
  </si>
  <si>
    <t>Research Scientist Intern</t>
  </si>
  <si>
    <t>Apply →  jobs.bytedance.com/en/position/7667379218929780997/detail</t>
  </si>
  <si>
    <t>Apply →  jobs.bytedance.com/en/position/7667380188619131189/detail</t>
  </si>
  <si>
    <t>Research Scientist Intern - Distributed NoSQL Database Systems</t>
  </si>
  <si>
    <t>Apply →  jobs.bytedance.com/en/position/7668371003554138421</t>
  </si>
  <si>
    <t>Apply →  jobs.bytedance.com/en/position/7668371456348326149/detail</t>
  </si>
  <si>
    <t>62</t>
  </si>
  <si>
    <t>Machine Learning and Artificial Intelligence Undergrad Internships</t>
  </si>
  <si>
    <t>Apply →  jobs.apple.com/en-us/details/200664780-3810/machine-learni</t>
  </si>
  <si>
    <t>Rolling evergreen req; undergrad-focused</t>
  </si>
  <si>
    <t>Auctor</t>
  </si>
  <si>
    <t>Visual Design Intern</t>
  </si>
  <si>
    <t>Apply →  jobs.ashbyhq.com/auctor/4f3db71d-d7ed-4b4f-846a-6e0962ce26</t>
  </si>
  <si>
    <t>zapply visa col: blank; age 3mo</t>
  </si>
  <si>
    <t>Databricks</t>
  </si>
  <si>
    <t>GenAI Research Scientist Intern</t>
  </si>
  <si>
    <t>Apply →  simplify.jobs/p/719d1cee-5971-45a1-9276-2f45faf5e04b</t>
  </si>
  <si>
    <t>$54-60/hr; strong ML research fit</t>
  </si>
  <si>
    <t>Research Scientist Intern, Embedded Contextual AI on Wearables</t>
  </si>
  <si>
    <t>Apply →  metacareers.com/jobs/2160167211413098</t>
  </si>
  <si>
    <t>PhD-level; wearables AI</t>
  </si>
  <si>
    <t>Applied Science: Microsoft AI Intern</t>
  </si>
  <si>
    <t>Apply →  apply.careers.microsoft.com/careers/job/1970393556885678</t>
  </si>
  <si>
    <t>Repo marks company as visa sponsor</t>
  </si>
  <si>
    <t>Applied Science: PhD Microsoft AI Intern</t>
  </si>
  <si>
    <t>Apply →  apply.careers.microsoft.com/careers/job/1970393556868271</t>
  </si>
  <si>
    <t>PhD-preferred; repo marks sponsor</t>
  </si>
  <si>
    <t>Product Manager Intern</t>
  </si>
  <si>
    <t>Apply →  apply.careers.microsoft.com/careers/job/1970393556953113</t>
  </si>
  <si>
    <t>Research Intern, Self-Improving AI</t>
  </si>
  <si>
    <t>Cambridge, MA</t>
  </si>
  <si>
    <t>Apply →  apply.careers.microsoft.com/careers/job/1970393556867858</t>
  </si>
  <si>
    <t>$52/hr</t>
  </si>
  <si>
    <t>Applied AI Engineer Intern - AI Hardware</t>
  </si>
  <si>
    <t>Apply →  tesla.com/careers/search/job/262946</t>
  </si>
  <si>
    <t>Software Machine Learning Engineer Intern</t>
  </si>
  <si>
    <t>Apply →  tesla.com/careers/search/job/272619</t>
  </si>
  <si>
    <t>AI Infrastructure Engineer Intern (Compute)</t>
  </si>
  <si>
    <t>Apply →  joinbytedance.com/search/7668801556469762357</t>
  </si>
  <si>
    <t>zapply visa col: H-1B Co.; age 2h</t>
  </si>
  <si>
    <t>AI Software Engineer Intern - Transaction</t>
  </si>
  <si>
    <t>Apply →  lifeattiktok.com/search/7646621925436131637</t>
  </si>
  <si>
    <t>AI/LLM Network Research Intern, High Speed Network (PhD)</t>
  </si>
  <si>
    <t>Apply →  simplify.jobs/p/76291290-bef0-475b-8a78-7859ffb4fd99/AILLM</t>
  </si>
  <si>
    <t>PhD-targeted</t>
  </si>
  <si>
    <t>Applied Research Intern - AI Safety Seminar</t>
  </si>
  <si>
    <t>Apply →  joinbytedance.com/search/7645070235035044101</t>
  </si>
  <si>
    <t>Apply →  lifeattiktok.com/search/7668379675467761925</t>
  </si>
  <si>
    <t>term not stated in listing</t>
  </si>
  <si>
    <t>Machine Learning Engineer Intern (E-Commerce)</t>
  </si>
  <si>
    <t>Apply →  joinbytedance.com/search/7538942403488188680</t>
  </si>
  <si>
    <t>Machine Learning Engineer Intern - Basic Ranking</t>
  </si>
  <si>
    <t>Apply →  lifeattiktok.com/search/7667339583362025781</t>
  </si>
  <si>
    <t>Machine Learning Engineer Intern - Brand Ads</t>
  </si>
  <si>
    <t>Apply →  lifeattiktok.com/search/7668654528822954245</t>
  </si>
  <si>
    <t>Machine Learning Engineer Intern - Core Ranking</t>
  </si>
  <si>
    <t>Apply →  lifeattiktok.com/search/7667350291952765237</t>
  </si>
  <si>
    <t>Machine Learning Engineer Intern - Data Search Search Quality</t>
  </si>
  <si>
    <t>Apply →  lifeattiktok.com/search/7665475888805611781</t>
  </si>
  <si>
    <t>Machine Learning Engineer Intern - E-Commerce</t>
  </si>
  <si>
    <t>Apply →  jobs.bytedance.com/en/position/7535168003103033618/detail</t>
  </si>
  <si>
    <t>Machine Learning Engineer Intern - E-commerce Search</t>
  </si>
  <si>
    <t>Apply →  joinbytedance.com/search/7535171166420453639</t>
  </si>
  <si>
    <t>H-1B sponsor</t>
  </si>
  <si>
    <t>Machine Learning Engineer Intern - Global E-Commerce</t>
  </si>
  <si>
    <t>Apply →  joinbytedance.com/search/7535951608832657682</t>
  </si>
  <si>
    <t>Machine Learning Engineer Intern - Global E-Commerce Content Recommendation</t>
  </si>
  <si>
    <t>Apply →  lifeattiktok.com/search/7623531261580036405</t>
  </si>
  <si>
    <t>2026-05-08</t>
  </si>
  <si>
    <t>Machine Learning Engineer Intern - Ranking</t>
  </si>
  <si>
    <t>Apply →  lifeattiktok.com/search/7667338938890930437</t>
  </si>
  <si>
    <t>Machine Learning Engineer Intern - Search Quality</t>
  </si>
  <si>
    <t>Apply →  lifeattiktok.com/search/7665475460339665157</t>
  </si>
  <si>
    <t>Machine Learning Engineer Intern - Timelines</t>
  </si>
  <si>
    <t>Apply →  lifeattiktok.com/search/7557122323507349778</t>
  </si>
  <si>
    <t>Machine Learning Scientist Intern</t>
  </si>
  <si>
    <t>Apply →  lifeattiktok.com/search/7532390182411405586</t>
  </si>
  <si>
    <t>Machine Learning Scientist Intern - Content Ecology - LLM Application</t>
  </si>
  <si>
    <t>Apply →  lifeattiktok.com/search/7667933770625599749</t>
  </si>
  <si>
    <t>Machine Learning Scientist Intern - Recommendation</t>
  </si>
  <si>
    <t>Apply →  lifeattiktok.com/search/7662657855099357493</t>
  </si>
  <si>
    <t>Product Manager Intern - Product Infrastructure - Account</t>
  </si>
  <si>
    <t>Apply →  lifeattiktok.com/search/7670009830602721589</t>
  </si>
  <si>
    <t>Product Operations Intern - Apps and API</t>
  </si>
  <si>
    <t>Apply →  lifeattiktok.com/search/7669927344569764101</t>
  </si>
  <si>
    <t>Product Operations Intern - TikTok Shop Apps and API - MBA</t>
  </si>
  <si>
    <t>Apply →  lifeattiktok.com/search/7668820702623467781</t>
  </si>
  <si>
    <t>advanced degree role</t>
  </si>
  <si>
    <t>Research Engineer Intern - Agentic Systems &amp; AI Infrastructure - Generalized Architecture</t>
  </si>
  <si>
    <t>Apply →  lifeattiktok.com/search/7667934792727906565</t>
  </si>
  <si>
    <t>Research Intern - AI/LLM Network</t>
  </si>
  <si>
    <t>Apply →  jobs.bytedance.com/en/position/7539992380817639687/detail</t>
  </si>
  <si>
    <t>Research Scientist Intern - Recommendation</t>
  </si>
  <si>
    <t>Apply →  lifeattiktok.com/search/7662661203281447221</t>
  </si>
  <si>
    <t>Software Engineer Intern, Recommendation Infrastructure</t>
  </si>
  <si>
    <t>Apply →  lifeattiktok.com/referral/tiktok/campus/position/753749336</t>
  </si>
  <si>
    <t>RecSys infrastructure</t>
  </si>
  <si>
    <t>Student Researcher Intern - AI Foundation Models Infrastructure</t>
  </si>
  <si>
    <t>Apply →  jobs.bytedance.com/en/position/7670330161462364421/detail</t>
  </si>
  <si>
    <t>Foundation models infra</t>
  </si>
  <si>
    <t>61</t>
  </si>
  <si>
    <t>Apptronik</t>
  </si>
  <si>
    <t>Robotics Software Intern, Real-Time Controls</t>
  </si>
  <si>
    <t>Apply →  boards.greenhouse.io/apptronik/jobs/5985132004?gh_jid=5985</t>
  </si>
  <si>
    <t>Humanoid robotics; CV-relevant</t>
  </si>
  <si>
    <t>Software Engineer Intern - ML Systems</t>
  </si>
  <si>
    <t>Apply →  applyguy.ai/jobs?company=Apptronik&amp;job=9b50be2b-01ea-4586-</t>
  </si>
  <si>
    <t>2026-07-27</t>
  </si>
  <si>
    <t>Humanoid robotics ML - strong CV match</t>
  </si>
  <si>
    <t>D. E. Shaw</t>
  </si>
  <si>
    <t>Quantitative Analyst PhD Intern - New York - Summer 2027</t>
  </si>
  <si>
    <t>Apply →  deshaw.com/careers/quantitative-analyst-ph-d-intern-new-yo</t>
  </si>
  <si>
    <t>JPMorgan Chase</t>
  </si>
  <si>
    <t>2027 Quantitative Research - Markets</t>
  </si>
  <si>
    <t>Apply →  jpmc.fa.oraclecloud.com/hcmUI/CandidateExperience/en/sites</t>
  </si>
  <si>
    <t>Point72</t>
  </si>
  <si>
    <t>Quantitative Research Intern</t>
  </si>
  <si>
    <t>Apply →  job-boards.greenhouse.io/point72/jobs/7297642002</t>
  </si>
  <si>
    <t>Autonomy Engineer Intern - Deep Learning (Computational Photography)</t>
  </si>
  <si>
    <t>Apply →  skydio.com/jobs/d13e3179-e646-4873-84a6-d492a692bc25</t>
  </si>
  <si>
    <t>Computational photography; CV-relevant; term not stated</t>
  </si>
  <si>
    <t>Philadelphia, PA; New York, NY</t>
  </si>
  <si>
    <t>Apply →  careers-sig.icims.com/jobs/10818/job</t>
  </si>
  <si>
    <t>2026-06-29</t>
  </si>
  <si>
    <t>Quantitative Research Intern (Master's)</t>
  </si>
  <si>
    <t>Apply →  careers.sig.com/phds-postdocs/jobs/10820</t>
  </si>
  <si>
    <t>MS eligible</t>
  </si>
  <si>
    <t>60</t>
  </si>
  <si>
    <t>Magna</t>
  </si>
  <si>
    <t>R&amp;D Computer Vision Engineering Intern</t>
  </si>
  <si>
    <t>Troy, MI</t>
  </si>
  <si>
    <t>Apply →  wd3.myworkdaysite.com/recruiting/magna/Magna/job/Troy-Mich</t>
  </si>
  <si>
    <t>Strong CV match</t>
  </si>
  <si>
    <t>Tencent</t>
  </si>
  <si>
    <t>Research Intern - Video World Models, Research &amp; ML Systems</t>
  </si>
  <si>
    <t>Apply →  tencent.wd1.myworkdayjobs.com/OA_Huoshui_Platform/job/US-C</t>
  </si>
  <si>
    <t>2026-07-15</t>
  </si>
  <si>
    <t>Video world models; strong CV match</t>
  </si>
  <si>
    <t>Valstad</t>
  </si>
  <si>
    <t>Software Engineer Intern - 3D &amp; Manufacturing Applications</t>
  </si>
  <si>
    <t>Apply →  jobs.ashbyhq.com/valstad/7ff6d452-969f-43a6-9127-d153025e6</t>
  </si>
  <si>
    <t>3D geometry; CV-relevant</t>
  </si>
  <si>
    <t>59</t>
  </si>
  <si>
    <t>Quantitative Trader Intern</t>
  </si>
  <si>
    <t>Apply →  citadelsecurities.com/careers/details/quantitative-trader-</t>
  </si>
  <si>
    <t>Cohere</t>
  </si>
  <si>
    <t>Apply →  jobright.ai/jobs/info/6a2d7ee0fc0644749054c56b</t>
  </si>
  <si>
    <t>LLM lab; Fall/Winter 2026; verify still open</t>
  </si>
  <si>
    <t>Software Engineer Intern (Fall / Winter 2026)</t>
  </si>
  <si>
    <t>San Francisco Bay Area, CA</t>
  </si>
  <si>
    <t>Apply →  builtinsf.com/job/software-engineer-intern-fall-winter-202</t>
  </si>
  <si>
    <t>LLM lab; strong ML fit</t>
  </si>
  <si>
    <t>Google</t>
  </si>
  <si>
    <t>Google Summer of Code Contributor</t>
  </si>
  <si>
    <t>Apply →  summerofcode.withgoogle.com/</t>
  </si>
  <si>
    <t>Open-source stipend program; 2027 apps open ~Mar 2027</t>
  </si>
  <si>
    <t>Quantitative Researcher Intern</t>
  </si>
  <si>
    <t>Apply →  hudsonrivertrading.com/careers/job/?gh_jid=7964062</t>
  </si>
  <si>
    <t>Apply →  janestreet.com/join-jane-street/position/8498547002/</t>
  </si>
  <si>
    <t>Apply →  janestreet.com/join-jane-street/position/8617344002/</t>
  </si>
  <si>
    <t>Sales and Trading Intern</t>
  </si>
  <si>
    <t>Apply →  janestreet.com/join-jane-street/position/8347385002/</t>
  </si>
  <si>
    <t>Trading Desk Operations Engineer Intern</t>
  </si>
  <si>
    <t>Apply →  janestreet.com/join-jane-street/position/8621450002/</t>
  </si>
  <si>
    <t>Magna International</t>
  </si>
  <si>
    <t>R&amp;D - Computer Vision Engineering Intern</t>
  </si>
  <si>
    <t>Apply →  magna.wd3.myworkdayjobs.com/Magna/job/Troy-Michigan-US/R-D</t>
  </si>
  <si>
    <t>Mistral AI</t>
  </si>
  <si>
    <t>AI Data Solutions Intern - Data Partnerships</t>
  </si>
  <si>
    <t>Apply →  jobs.ashbyhq.com/mistral.ai/60fcc44d-4d96-469d-a96c-d6a9bb</t>
  </si>
  <si>
    <t>PlusAI</t>
  </si>
  <si>
    <t>Computer Vision Engineer Intern</t>
  </si>
  <si>
    <t>Apply →  jobs.lever.co/plus-2/c143df6e-66c2-4498-b19b-8323f9954ca9</t>
  </si>
  <si>
    <t>Verified open; computer vision - direct specialty match</t>
  </si>
  <si>
    <t>Together AI</t>
  </si>
  <si>
    <t>Frontier Agents Intern (Fall 2026)</t>
  </si>
  <si>
    <t>Apply →  job-boards.greenhouse.io/togetherai/jobs/5157380007</t>
  </si>
  <si>
    <t>Agentic AI research</t>
  </si>
  <si>
    <t>Research Intern, Inference (Fall 2026)</t>
  </si>
  <si>
    <t>Apply →  job-boards.greenhouse.io/togetherai/jobs/5157759007</t>
  </si>
  <si>
    <t>Location unverified (Together AI US office is SF)</t>
  </si>
  <si>
    <t>58</t>
  </si>
  <si>
    <t>Hardware PhD Internships</t>
  </si>
  <si>
    <t>United States</t>
  </si>
  <si>
    <t>Apply →  jobs.apple.com/en-us/details/200664421/hardware-phd-intern</t>
  </si>
  <si>
    <t>zapply visa col: blank; age 2mo; PhD-level</t>
  </si>
  <si>
    <t>Hardware Technologies PhD Internships</t>
  </si>
  <si>
    <t>Apply →  jobs.apple.com/en-us/details/200664414/hardware-technologi</t>
  </si>
  <si>
    <t>zapply visa col: H-1B Co.; age 2mo; PhD-level</t>
  </si>
  <si>
    <t>Software PhD Internships</t>
  </si>
  <si>
    <t>Apply →  jobs.apple.com/en-us/details/200664323/software-phd-intern</t>
  </si>
  <si>
    <t>IMC Trading</t>
  </si>
  <si>
    <t>Machine Learning Research Intern - Summer 2027</t>
  </si>
  <si>
    <t>Chicago, IL</t>
  </si>
  <si>
    <t>Apply →  job-boards.eu.greenhouse.io/imc/jobs/4907430101</t>
  </si>
  <si>
    <t>ML research at HFT firm</t>
  </si>
  <si>
    <t>JP Morgan Chase</t>
  </si>
  <si>
    <t>Data &amp; AI Intern - Analyst</t>
  </si>
  <si>
    <t>Palo Alto, CA; Newark, NJ (+12)</t>
  </si>
  <si>
    <t>Data Internship - Data &amp; AI Program</t>
  </si>
  <si>
    <t>2027 Data &amp; AI Program - Summer Internship - Analyst - United States</t>
  </si>
  <si>
    <t>2027 Data for Good Hackathon - Data &amp; AI</t>
  </si>
  <si>
    <t>Campus AI Research Engineer Intern</t>
  </si>
  <si>
    <t>Apply →  jumptrading.com/hr/job?gh_jid=8052281</t>
  </si>
  <si>
    <t>$138/hr</t>
  </si>
  <si>
    <t>Campus AI Research Engineer Intern, Deep Learning</t>
  </si>
  <si>
    <t>Apply →  jumptrading.com/hr/job?gh_jid=8052338</t>
  </si>
  <si>
    <t>Deep learning; $138/hr</t>
  </si>
  <si>
    <t>Campus AI Research Engineer Intern, Research Automation</t>
  </si>
  <si>
    <t>Apply →  jumptrading.com/hr/job?gh_jid=8052351</t>
  </si>
  <si>
    <t>Research Scientist Intern - Audio Quality</t>
  </si>
  <si>
    <t>Apply →  metacareers.com/jobs/1760132191666571</t>
  </si>
  <si>
    <t>Reality Labs research</t>
  </si>
  <si>
    <t>Research Scientist Intern - Monetization</t>
  </si>
  <si>
    <t>Apply →  metacareers.com/jobs/2916726525182155</t>
  </si>
  <si>
    <t>Repo flags company as H-1B sponsor</t>
  </si>
  <si>
    <t>Research Scientist Intern, NMR Analysis Automation</t>
  </si>
  <si>
    <t>Apply →  metacareers.com/jobs/1418337243438665</t>
  </si>
  <si>
    <t>$50/hr</t>
  </si>
  <si>
    <t>Research Scientist Intern, Optical System Design</t>
  </si>
  <si>
    <t>Apply →  metacareers.com/jobs/1710381673750348</t>
  </si>
  <si>
    <t>PhD-level; optics/AR</t>
  </si>
  <si>
    <t>Research Intern - Firmware Security</t>
  </si>
  <si>
    <t>Apply →  simplify.jobs/p/c3a88fbe-109d-4f95-b388-630393a1833c</t>
  </si>
  <si>
    <t>MSR; $32.83-$77.77/hr</t>
  </si>
  <si>
    <t>Machine Learning Internship - PhD: 2027</t>
  </si>
  <si>
    <t>Bala Cynwyd, PA</t>
  </si>
  <si>
    <t>Apply →  careers-sig.icims.com/jobs/10785/machine-learning-internsh</t>
  </si>
  <si>
    <t>Apply →  lifeattiktok.com/search/7532660880120400135</t>
  </si>
  <si>
    <t>Research Intern (AML) - 2026 Start (PhD)</t>
  </si>
  <si>
    <t>Apply →  joinbytedance.com/search/7654366987607542021</t>
  </si>
  <si>
    <t>zapply visa col: blank; age 2h; PhD-level</t>
  </si>
  <si>
    <t>Research Intern - Virtual Network</t>
  </si>
  <si>
    <t>Apply →  jobs.bytedance.com/en/position/7537164763424606482/detail</t>
  </si>
  <si>
    <t>Research Scientist Intern - Foundations &amp; Intelligence Service</t>
  </si>
  <si>
    <t>Apply →  lifeattiktok.com/search/7662677746436524293</t>
  </si>
  <si>
    <t>Research Scientist Intern - Neural Graphics and World Models</t>
  </si>
  <si>
    <t>Apply →  lifeattiktok.com/search/7667935738840090933</t>
  </si>
  <si>
    <t>Apply →  lifeattiktok.com/search/7527582397938223367</t>
  </si>
  <si>
    <t>Student Researcher - Compiler, Seed Infra</t>
  </si>
  <si>
    <t>Apply →  jobs.bytedance.com/en/position/7670317975513794869/detail</t>
  </si>
  <si>
    <t>Seed (ByteDance research lab)</t>
  </si>
  <si>
    <t>57</t>
  </si>
  <si>
    <t>Castleton Commodities International</t>
  </si>
  <si>
    <t>Data Science Machine Learning Intern</t>
  </si>
  <si>
    <t>Stamford, CT; Houston, TX; New York, NY</t>
  </si>
  <si>
    <t>Apply →  osv-cci.wd1.myworkdayjobs.com/en-US/CCICareers/job/Stamfor</t>
  </si>
  <si>
    <t>General Intuition &amp; Medal</t>
  </si>
  <si>
    <t>Technical Intern and New Grad</t>
  </si>
  <si>
    <t>New York, NY; London, UK</t>
  </si>
  <si>
    <t>Apply →  jobs.ashbyhq.com/generalintuition-medal/aaa8928d-7d07-4859</t>
  </si>
  <si>
    <t>2026-07-26</t>
  </si>
  <si>
    <t>Game-video world models; strong CV fit</t>
  </si>
  <si>
    <t>Intercontinental Exchange</t>
  </si>
  <si>
    <t>Artificial Intelligence, Data &amp; Machine Learning Intern</t>
  </si>
  <si>
    <t>Apply →  careers.ice.com/jobs/12830?lang=en-us&amp;iis=LinkedIn&amp;iisn=Li</t>
  </si>
  <si>
    <t>Data Engineer Intern</t>
  </si>
  <si>
    <t>Apply →  janestreet.com/join-jane-street/position/8631973002/</t>
  </si>
  <si>
    <t>56</t>
  </si>
  <si>
    <t>Software Engineering Intern - Masters</t>
  </si>
  <si>
    <t>Apply →  jobs.apple.com/en-us/details/200664320/software-engineerin</t>
  </si>
  <si>
    <t>2026-05-22</t>
  </si>
  <si>
    <t>Software Engineering Intern - Undergrad</t>
  </si>
  <si>
    <t>Apply →  jobs.apple.com/en-us/details/200664785/software-undergrad-</t>
  </si>
  <si>
    <t>Miami, FL; New York, NY</t>
  </si>
  <si>
    <t>Apply →  citadelsecurities.com/careers/details/software-engineer-in</t>
  </si>
  <si>
    <t>2026-07-11</t>
  </si>
  <si>
    <t>Software Engineering Intern - BS</t>
  </si>
  <si>
    <t>Mountain View, CA; 29 more locations</t>
  </si>
  <si>
    <t>Apply →  google.com/about/careers/applications/jobs/results/8556471</t>
  </si>
  <si>
    <t>Mountain View, CA (multiple US)</t>
  </si>
  <si>
    <t>Software Engineer Intern - CoreAI</t>
  </si>
  <si>
    <t>Apply →  apply.careers.microsoft.com/careers/job/1970393556951950</t>
  </si>
  <si>
    <t>CoreAI org</t>
  </si>
  <si>
    <t>Forward Deployed Software Engineer Intern - Commercial</t>
  </si>
  <si>
    <t>Apply →  jobs.lever.co/palantir/d5486403-c050-4920-b2e0-91b69b61ebb</t>
  </si>
  <si>
    <t>Software Engineer Intern, Defense Tech</t>
  </si>
  <si>
    <t>Washington, DC (multiple US)</t>
  </si>
  <si>
    <t>Apply →  jobs.lever.co/palantir/f17e98d0-046a-4e6e-9d65-ed0b12dd0ff</t>
  </si>
  <si>
    <t>Backend Developer Intern - Infrastructure Platform Delivery</t>
  </si>
  <si>
    <t>Apply →  simplify.jobs/p/1f65e1dc-4f67-432b-822e-9d4bf09cfc3d/Backe</t>
  </si>
  <si>
    <t>ByteDance sponsors international students</t>
  </si>
  <si>
    <t>Backend Software Engineer Intern</t>
  </si>
  <si>
    <t>Apply →  lifeattiktok.com/search/7667935565120112949</t>
  </si>
  <si>
    <t>Backend Software Engineer Intern - Creation Platform</t>
  </si>
  <si>
    <t>Apply →  lifeattiktok.com/search/7670289874020993285</t>
  </si>
  <si>
    <t>Backend Software Engineer Intern - Digital Content Center</t>
  </si>
  <si>
    <t>Apply →  lifeattiktok.com/search/7667934302872537397</t>
  </si>
  <si>
    <t>Backend Software Engineer Intern - Global E-Commerce</t>
  </si>
  <si>
    <t>Apply →  lifeattiktok.com/search/7668834837268138293</t>
  </si>
  <si>
    <t>Apply →  lifeattiktok.com/search/7668834837268416821</t>
  </si>
  <si>
    <t>Backend Software Engineer Intern - Innovative Growth</t>
  </si>
  <si>
    <t>Apply →  lifeattiktok.com/search/7667934860750063925</t>
  </si>
  <si>
    <t>Backend Software Engineer Intern - LIVE Foundation Governance Engineering</t>
  </si>
  <si>
    <t>Apply →  lifeattiktok.com/search/7667935150530840837</t>
  </si>
  <si>
    <t>Backend Software Engineer Intern - Product Infrastructure</t>
  </si>
  <si>
    <t>Apply →  lifeattiktok.com/search/7667935633764370741</t>
  </si>
  <si>
    <t>Backend Software Engineer Intern, Social Friending</t>
  </si>
  <si>
    <t>Apply →  lifeattiktok.com/search/7667934635573692725</t>
  </si>
  <si>
    <t>Frontend Engineer Intern - Global CRM</t>
  </si>
  <si>
    <t>Apply →  lifeattiktok.com/search/7669711026846058757</t>
  </si>
  <si>
    <t>Frontend Engineer Intern - Open Platform</t>
  </si>
  <si>
    <t>Apply →  lifeattiktok.com/search/7667935739300792629</t>
  </si>
  <si>
    <t>Frontend Software Engineer Intern, Ads Measurement Signal and Privacy</t>
  </si>
  <si>
    <t>Apply →  lifeattiktok.com/search/7668584161852229893</t>
  </si>
  <si>
    <t>Software Development Engineer in Test Intern (TikTok-Testing) - 2027 Summer</t>
  </si>
  <si>
    <t>Apply →  lifeattiktok.com/search/7667934759481526581</t>
  </si>
  <si>
    <t>2026-07-30</t>
  </si>
  <si>
    <t>Software Development Engineer in Test Intern - Global E-Commerce - 2027 Summer</t>
  </si>
  <si>
    <t>Apply →  lifeattiktok.com/search/7668837275459324213</t>
  </si>
  <si>
    <t>Apply →  lifeattiktok.com/search/7668837276597127477</t>
  </si>
  <si>
    <t>Apply →  jobs.bytedance.com/en/position/7668373268886161669</t>
  </si>
  <si>
    <t>Apply →  lifeattiktok.com/search/7669712589169117445</t>
  </si>
  <si>
    <t>Software Engineer Intern - Ads Interface</t>
  </si>
  <si>
    <t>Apply →  lifeattiktok.com/search/7669705785962727733</t>
  </si>
  <si>
    <t>Software Engineer Intern - Business Integrity</t>
  </si>
  <si>
    <t>Apply →  lifeattiktok.com/search/7668584916620527925</t>
  </si>
  <si>
    <t>Software Engineer Intern - Creative Intelligence and Brand Innovation</t>
  </si>
  <si>
    <t>Apply →  lifeattiktok.com/search/7668642761473902901</t>
  </si>
  <si>
    <t>Software Engineer Intern - Data Architecture, E-commerce</t>
  </si>
  <si>
    <t>Apply →  lifeattiktok.com/search/7668582146236631349</t>
  </si>
  <si>
    <t>Software Engineer Intern - Distributed NoSQL Database Systems</t>
  </si>
  <si>
    <t>Apply →  jobs.bytedance.com/en/position/7668374190764050741</t>
  </si>
  <si>
    <t>Software Engineer Intern - Foundation Platform</t>
  </si>
  <si>
    <t>Apply →  lifeattiktok.com/search/7670281449668905269</t>
  </si>
  <si>
    <t>Software Engineer Intern - Global CRM</t>
  </si>
  <si>
    <t>Apply →  lifeattiktok.com/search/7669711844487399685</t>
  </si>
  <si>
    <t>Software Engineer Intern - Media Engine</t>
  </si>
  <si>
    <t>Apply →  lifeattiktok.com/search/7670295535077427509</t>
  </si>
  <si>
    <t>Software Engineer Intern - Social Friending</t>
  </si>
  <si>
    <t>Apply →  lifeattiktok.com/search/7667935399050692917</t>
  </si>
  <si>
    <t>Software Engineer Intern - Transaction Platform</t>
  </si>
  <si>
    <t>Apply →  lifeattiktok.com/search/7669943120351906053</t>
  </si>
  <si>
    <t>Software Engineer Intern - Trust and Safety Engineering</t>
  </si>
  <si>
    <t>Apply →  lifeattiktok.com/search/7662684280234232117</t>
  </si>
  <si>
    <t>Software Engineer Intern, Ads Measurement Signal and Privacy</t>
  </si>
  <si>
    <t>Apply →  lifeattiktok.com/search/7668582031916435717</t>
  </si>
  <si>
    <t>Software Engineer Intern, Data Arch - E-commerce</t>
  </si>
  <si>
    <t>Apply →  lifeattiktok.com/search/7668582086899763461</t>
  </si>
  <si>
    <t>Software Engineer Intern, TikTok-Agentic Creation-AIGC</t>
  </si>
  <si>
    <t>Apply →  lifeattiktok.com/search/7668675500744837381</t>
  </si>
  <si>
    <t>55</t>
  </si>
  <si>
    <t>Cotiviti</t>
  </si>
  <si>
    <t>Generative AI / Agentic AI Research Intern</t>
  </si>
  <si>
    <t>Apply →  careers-cotiviti.icims.com/jobs/18929/job?mobile=true&amp;need</t>
  </si>
  <si>
    <t>Intern - Infrared Imaging &amp; Algorithms</t>
  </si>
  <si>
    <t>Goleta, CA</t>
  </si>
  <si>
    <t>Apply →  magna.wd3.myworkdayjobs.com/en-US/magna/job/Goleta-Califor</t>
  </si>
  <si>
    <t>CV-relevant: imaging algorithms</t>
  </si>
  <si>
    <t>Hunyuan Multimodal Algorithm Researcher Intern - Omni-Modal</t>
  </si>
  <si>
    <t>Apply →  tencent.wd1.myworkdayjobs.com/en-US/tencent_careers/job/US</t>
  </si>
  <si>
    <t>2026-07-03</t>
  </si>
  <si>
    <t>CV-relevant multimodal</t>
  </si>
  <si>
    <t>Hunyuan Multimodal Reinforcement Learning Research Intern</t>
  </si>
  <si>
    <t>Research Intern - Video World Models</t>
  </si>
  <si>
    <t>Apply →  simplify.jobs/p/fbb72559-8ab8-44a7-b199-5fa04ec5a879</t>
  </si>
  <si>
    <t>Video world models - strong CV fit; $38.54-60/hr</t>
  </si>
  <si>
    <t>Product Management Intern - Product Engineer, Applications Engineering</t>
  </si>
  <si>
    <t>Fremont, CA</t>
  </si>
  <si>
    <t>Apply →  tesla.com/careers/search/job/274754</t>
  </si>
  <si>
    <t>Copyright Solution Product Manager Intern - TikTok Music</t>
  </si>
  <si>
    <t>Apply →  lifeattiktok.com/search/7657541997725288757</t>
  </si>
  <si>
    <t>Product Manager Intern - TikTok Ads Agent-Scaled Growth</t>
  </si>
  <si>
    <t>Apply →  lifeattiktok.com/search/7657728959042046213</t>
  </si>
  <si>
    <t>Product Manager Intern - TikTok Product Content Ecosystem</t>
  </si>
  <si>
    <t>Apply →  lifeattiktok.com/search/7657778928769534213</t>
  </si>
  <si>
    <t>Research Intern RL &amp; Post-Training Systems, Turbo (Fall 2026)</t>
  </si>
  <si>
    <t>Apply →  job-boards.greenhouse.io/togetherai/jobs/5168929007</t>
  </si>
  <si>
    <t>RL / post-training; location unverified</t>
  </si>
  <si>
    <t>Systems Research Engineer Intern - GPU Programming (Fall 2026)</t>
  </si>
  <si>
    <t>Apply →  job-boards.greenhouse.io/togetherai/jobs/5157559007</t>
  </si>
  <si>
    <t>GPU/CUDA systems research</t>
  </si>
  <si>
    <t>54</t>
  </si>
  <si>
    <t>Akuna Capital</t>
  </si>
  <si>
    <t>Apply →  akunacapital.com/careers/job/8036614/</t>
  </si>
  <si>
    <t>DRW</t>
  </si>
  <si>
    <t>Apply →  job-boards.greenhouse.io/drweng/jobs/7818540</t>
  </si>
  <si>
    <t>Quantitative Research Intern (PhD) - Summer 2027</t>
  </si>
  <si>
    <t>Apply →  job-boards.eu.greenhouse.io/imc/jobs/4907400101</t>
  </si>
  <si>
    <t>Quantitative Research Intern - BS / MS</t>
  </si>
  <si>
    <t>Apply →  job-boards.eu.greenhouse.io/imc/jobs/4907399101</t>
  </si>
  <si>
    <t>Instacart</t>
  </si>
  <si>
    <t>Machine Learning Engineer, PhD Intern (Fall)</t>
  </si>
  <si>
    <t>Apply →  instacart.careers/job/?gh_jid=5917202</t>
  </si>
  <si>
    <t>Machine Learning PhD Intern, Economics (Fall)</t>
  </si>
  <si>
    <t>Apply →  instacart.careers/job/?gh_jid=7532267</t>
  </si>
  <si>
    <t>AI Software Engineer Intern</t>
  </si>
  <si>
    <t>Remote in USA</t>
  </si>
  <si>
    <t>Apply →  intel.wd1.myworkdayjobs.com/en-us/external/job/Virtual-US/</t>
  </si>
  <si>
    <t>FutureFocus Quants, Fasttrack for Trading &amp; Research Intern 2027</t>
  </si>
  <si>
    <t>Apply →  optiver.com/working-at-optiver/career-opportunities/817526</t>
  </si>
  <si>
    <t>2025-11-12</t>
  </si>
  <si>
    <t>Early-ID Fasttrack for 2027; older posting - verify still open</t>
  </si>
  <si>
    <t>Quantitative Research Intern (PhD)</t>
  </si>
  <si>
    <t>Apply →  optiver.com/join-us/jobs/8451782002/?gh_jid=8451782002</t>
  </si>
  <si>
    <t>PhD-level; $125/hr</t>
  </si>
  <si>
    <t>Quantitative Research Intern - PhD</t>
  </si>
  <si>
    <t>Apply →  optiver.com/join-us/jobs/quantitative-research-and-machine</t>
  </si>
  <si>
    <t>Apply →  careers.sig.com/quantitative-systematic-trading-quantitati</t>
  </si>
  <si>
    <t>Warner Bros. Discovery</t>
  </si>
  <si>
    <t>Research, Analytics &amp; Strategy Internships - NYC - Fall 2026</t>
  </si>
  <si>
    <t>Apply →  warnerbros.wd5.myworkdayjobs.com/global/job/NY-New-York-30</t>
  </si>
  <si>
    <t>53</t>
  </si>
  <si>
    <t>American Express</t>
  </si>
  <si>
    <t>Digital Product Analyst Intern</t>
  </si>
  <si>
    <t>Apply →  egug.fa.us2.oraclecloud.com/hcmUI/CandidateExperience/en/s</t>
  </si>
  <si>
    <t>PM role; NYC</t>
  </si>
  <si>
    <t>Product Development Intern - US Consumer Services</t>
  </si>
  <si>
    <t>Product Management Intern - Global Merchant &amp; Network Services</t>
  </si>
  <si>
    <t>Product Management Intern - Product Innovation, Credit &amp; Fraud Risk</t>
  </si>
  <si>
    <t>Bosch</t>
  </si>
  <si>
    <t>ADAS Software Engineering Intern</t>
  </si>
  <si>
    <t>Plymouth, MI</t>
  </si>
  <si>
    <t>Apply →  jobs.smartrecruiters.com/BoschGroup/744000140317669-adas-s</t>
  </si>
  <si>
    <t>ADAS perception; strong CV match</t>
  </si>
  <si>
    <t>Autonomous Driving - Internship in Machine Learning</t>
  </si>
  <si>
    <t>Apply →  jobs.smartrecruiters.com/BoschGroup/744000140462550-autono</t>
  </si>
  <si>
    <t>$71K-141K; autonomous driving ML; top CV match</t>
  </si>
  <si>
    <t>Research Scientist Intern - Multi-modal Sensing AI</t>
  </si>
  <si>
    <t>Pittsburgh, PA</t>
  </si>
  <si>
    <t>Apply →  jobs.smartrecruiters.com/BoschGroup/744000131739749-resear</t>
  </si>
  <si>
    <t>2026-06-13</t>
  </si>
  <si>
    <t>Bosch Research; CV-relevant sensing</t>
  </si>
  <si>
    <t>Carnegie Mellon University</t>
  </si>
  <si>
    <t>Robotics Institute Summer Scholars (RISS)</t>
  </si>
  <si>
    <t>Apply →  riss.ri.cmu.edu/</t>
  </si>
  <si>
    <t>CV/robotics research; apps typically open Nov-Jan</t>
  </si>
  <si>
    <t>GE HealthCare</t>
  </si>
  <si>
    <t>Edison Engineering Development Program Intern - Software</t>
  </si>
  <si>
    <t>Waukesha, WI</t>
  </si>
  <si>
    <t>Apply →  applyguy.ai/jobs?company=GE+HealthCare&amp;job=e7a4cb8a-6d75-4</t>
  </si>
  <si>
    <t>2026-07-20</t>
  </si>
  <si>
    <t>Medical imaging org - CV adjacent</t>
  </si>
  <si>
    <t>General Motors</t>
  </si>
  <si>
    <t>Research &amp; Development: AI/ML Intern</t>
  </si>
  <si>
    <t>Apply →  simplify.jobs/p/9c4619b9-f695-4144-b0f7-42620ccfbc1e/Resea</t>
  </si>
  <si>
    <t>Autonomy R&amp;D - CV-relevant</t>
  </si>
  <si>
    <t>KLA</t>
  </si>
  <si>
    <t>Algorithm Engineer Intern</t>
  </si>
  <si>
    <t>Milpitas, CA</t>
  </si>
  <si>
    <t>Apply →  kla.wd1.myworkdayjobs.com/en-US/search/job/Milpitas-CA/Alg</t>
  </si>
  <si>
    <t>Imaging/inspection algorithms - CV-relevant</t>
  </si>
  <si>
    <t>Rippling</t>
  </si>
  <si>
    <t>Software Engineer Intern - Backend / Full Stack / ML</t>
  </si>
  <si>
    <t>San Francisco, CA; New York, NY; Seattle, WA</t>
  </si>
  <si>
    <t>Apply →  ats.rippling.com/rippling/jobs/00cbc991-d2fb-452c-a8b6-297</t>
  </si>
  <si>
    <t>Creator &amp; Affiliate Product Manager Intern</t>
  </si>
  <si>
    <t>Apply →  lifeattiktok.com/search/7550950550511421703</t>
  </si>
  <si>
    <t>Trata</t>
  </si>
  <si>
    <t>San Francisco, CA; New York, NY</t>
  </si>
  <si>
    <t>Apply →  workatastartup.com/jobs/94620</t>
  </si>
  <si>
    <t>YC startup</t>
  </si>
  <si>
    <t>USC Institute for Creative Technologies</t>
  </si>
  <si>
    <t>ICT Summer Research Internship</t>
  </si>
  <si>
    <t>Los Angeles, CA</t>
  </si>
  <si>
    <t>Apply →  ict.usc.edu/academics/internships/application/</t>
  </si>
  <si>
    <t>Graphics/vision/AI research; CV-relevant</t>
  </si>
  <si>
    <t>52</t>
  </si>
  <si>
    <t>Software Engineering Internship (C++ or Python) - Summer 2027</t>
  </si>
  <si>
    <t>Apply →  applyguy.ai/jobs?company=Hudson+River+Trading&amp;job=4b0b0535</t>
  </si>
  <si>
    <t>2026-07-13</t>
  </si>
  <si>
    <t>Top-tier quant firm</t>
  </si>
  <si>
    <t>InterDigital</t>
  </si>
  <si>
    <t>Generative AI Implementation Intern</t>
  </si>
  <si>
    <t>Conshohocken, PA</t>
  </si>
  <si>
    <t>Apply →  interdigital.wd5.myworkdayjobs.com/InterDigital_Intern/job</t>
  </si>
  <si>
    <t>Truveta</t>
  </si>
  <si>
    <t>ML PhD Intern - LLMs &amp; Generative AI</t>
  </si>
  <si>
    <t>Apply →  job-boards.greenhouse.io/truveta/jobs/5712997004</t>
  </si>
  <si>
    <t>PhD; older posting; active visa sponsor</t>
  </si>
  <si>
    <t>51</t>
  </si>
  <si>
    <t>ABB</t>
  </si>
  <si>
    <t>AI &amp; Data Scientist AI Intern</t>
  </si>
  <si>
    <t>Cary, NC</t>
  </si>
  <si>
    <t>Apply →  abb.wd3.myworkdayjobs.com/en-US/external_career_page/job/U</t>
  </si>
  <si>
    <t>Cisco</t>
  </si>
  <si>
    <t>Software Engineer Data/AI/Intelligent Systems 2 Intern</t>
  </si>
  <si>
    <t>Boston, MA; Knoxville, TN; San Jose, CA (+22)</t>
  </si>
  <si>
    <t>Apply →  cisco.wd5.myworkdayjobs.com/cisco_careers/job/San-Jose-Cal</t>
  </si>
  <si>
    <t>Software Engineer Data/AI/Intelligent Systems Intern - United States</t>
  </si>
  <si>
    <t>Boston, MA; Seattle, WA; San Jose, CA (+30)</t>
  </si>
  <si>
    <t>FPGA Engineer Intern</t>
  </si>
  <si>
    <t>Apply →  citadelsecurities.com/careers/details/fpga-engineer-intern</t>
  </si>
  <si>
    <t>Cloudflare</t>
  </si>
  <si>
    <t>U.S. Public Policy and AI Innovation Intern - Fall 2026</t>
  </si>
  <si>
    <t>Washington, DC</t>
  </si>
  <si>
    <t>Apply →  simplify.jobs/p/c41207da-ee6d-4ed5-9424-cb9ba2123dcf</t>
  </si>
  <si>
    <t>Policy role; $24/hr</t>
  </si>
  <si>
    <t>Generative AI Research Engineer Intern</t>
  </si>
  <si>
    <t>Apply →  careers-cotiviti.icims.com/jobs/19341/job?mobile=true&amp;need</t>
  </si>
  <si>
    <t>Genentech</t>
  </si>
  <si>
    <t>Fall Intern, Frontier Research, Prescient Design, AI for Drug Discovery</t>
  </si>
  <si>
    <t>South San Francisco, CA</t>
  </si>
  <si>
    <t>Apply →  roche.wd3.myworkdayjobs.com/en-US/rog-a2o-gene/job/South-S</t>
  </si>
  <si>
    <t>AI for drug discovery</t>
  </si>
  <si>
    <t>Fall Intern, Research &amp; Development AI/ML</t>
  </si>
  <si>
    <t>Warren, MI</t>
  </si>
  <si>
    <t>Apply →  generalmotors.wd5.myworkdayjobs.com/en-US/careers_gm/job/W</t>
  </si>
  <si>
    <t>R&amp;D AI/ML</t>
  </si>
  <si>
    <t>Cybersecurity Analyst Intern</t>
  </si>
  <si>
    <t>Apply →  janestreet.com/join-jane-street/position/8632723002/</t>
  </si>
  <si>
    <t>Hardware Engineer (FPGA/ASIC) Intern</t>
  </si>
  <si>
    <t>Apply →  janestreet.com/join-jane-street/position/8624440002/</t>
  </si>
  <si>
    <t>Forward Deployed Software Engineer Intern</t>
  </si>
  <si>
    <t>Apply →  jobs.lever.co/palantir/e0010393-c300-446f-bf67-fa2ef067f16</t>
  </si>
  <si>
    <t>Terms: Winter/Spring/Summer 2028</t>
  </si>
  <si>
    <t>Apply →  jobs.lever.co/palantir/4d29249a-d7e8-4c39-880d-3b35d7b2f6f</t>
  </si>
  <si>
    <t>Winter 2027 / Spring-Summer 2028</t>
  </si>
  <si>
    <t>Software Engineer Intern - Defense Tech</t>
  </si>
  <si>
    <t>Apply →  jobs.lever.co/palantir/8bcf4f33-0a79-4248-bbfd-49ac4be9dd8</t>
  </si>
  <si>
    <t>Defense Tech; US-person likely. Winter/Spring/Summer 2028</t>
  </si>
  <si>
    <t>Software Engineer Intern - Infrastructure</t>
  </si>
  <si>
    <t>Apply →  jobs.lever.co/palantir/b229baac-494b-4a0d-9a13-2e38806e06f</t>
  </si>
  <si>
    <t>Software Engineer Intern - Production Infrastructure</t>
  </si>
  <si>
    <t>Apply →  jobs.lever.co/palantir/37964982-9b4c-471e-a1d8-fb8f45d7f11</t>
  </si>
  <si>
    <t>Year at Palantir - Software Engineer - Internship</t>
  </si>
  <si>
    <t>Apply →  jobs.lever.co/palantir/655f9937-a4ce-4e7d-80e2-a6659af0732</t>
  </si>
  <si>
    <t>full-year program</t>
  </si>
  <si>
    <t>Year at Palantir, Intern</t>
  </si>
  <si>
    <t>Apply →  jobs.lever.co/palantir/030ece08-c341-4959-bdfe-314e89b691c</t>
  </si>
  <si>
    <t>2026-03-18</t>
  </si>
  <si>
    <t>Year-long deferred-start program</t>
  </si>
  <si>
    <t>Peraton</t>
  </si>
  <si>
    <t>Generative AI Engineer Intern</t>
  </si>
  <si>
    <t>Apply →  careers-peraton.icims.com/jobs/167460/job?mobile=true&amp;need</t>
  </si>
  <si>
    <t>Defense contractor; verify clearance requirement</t>
  </si>
  <si>
    <t>PhD Fall Machine Learning Intern</t>
  </si>
  <si>
    <t>Apply →  pinterestcareers.com/jobs/?gh_jid=7255640</t>
  </si>
  <si>
    <t>50</t>
  </si>
  <si>
    <t>CNO Financial Group</t>
  </si>
  <si>
    <t>Artificial Intelligence Information Technology Intern - AI</t>
  </si>
  <si>
    <t>Carmel, IN</t>
  </si>
  <si>
    <t>Apply →  cnoinc.wd5.myworkdayjobs.com/Careers/job/Carmel-IN/Artific</t>
  </si>
  <si>
    <t>CTGT</t>
  </si>
  <si>
    <t>Software Engineering Intern - Summer 2027</t>
  </si>
  <si>
    <t>Apply →  jobs.ashbyhq.com/ctgt/f657c2f5-125e-42b6-a68a-646bbea3d155</t>
  </si>
  <si>
    <t>2026-07-29</t>
  </si>
  <si>
    <t>AI startup</t>
  </si>
  <si>
    <t>Apply →  simplify.jobs/p/ae507b57-02d4-4bfc-a7e8-6e6d6c0a6521</t>
  </si>
  <si>
    <t>PM role; $51.50-56/hr</t>
  </si>
  <si>
    <t>San Francisco, CA; Bellevue, WA; Mountain View, CA</t>
  </si>
  <si>
    <t>Apply →  boards.greenhouse.io/embed/job_app?token=6883068002</t>
  </si>
  <si>
    <t>2026-07-17</t>
  </si>
  <si>
    <t>Draper</t>
  </si>
  <si>
    <t>Space GNC Co-Op (Fall 2026)</t>
  </si>
  <si>
    <t>Houston, TX</t>
  </si>
  <si>
    <t>Apply →  draper.wd5.myworkdayjobs.com/Draper_Careers/job/Houston-TX</t>
  </si>
  <si>
    <t>Homebase</t>
  </si>
  <si>
    <t>Forward Deployed Engineering Intern, AI-Native</t>
  </si>
  <si>
    <t>Houston, TX; San Francisco, CA</t>
  </si>
  <si>
    <t>Apply →  jobs.ashbyhq.com/homebase/a7ab59c0-786e-4675-b684-2ed19b24</t>
  </si>
  <si>
    <t>Fall 2026 Intern, Artificial Intelligence/Machine Learning</t>
  </si>
  <si>
    <t>Apply →  job-boards.greenhouse.io/kodiak/jobs/4174469009</t>
  </si>
  <si>
    <t>Autonomous trucking; CV-relevant. Sept start, 12-16 wks</t>
  </si>
  <si>
    <t>Fall 2026 Intern, Motion Planning</t>
  </si>
  <si>
    <t>Apply →  job-boards.greenhouse.io/kodiak/jobs/4174475009</t>
  </si>
  <si>
    <t>Autonomous trucking motion planning; strong CV fit</t>
  </si>
  <si>
    <t>Technical Program Manager Intern</t>
  </si>
  <si>
    <t>Apply →  apply.careers.microsoft.com/careers/job/1970393556953114</t>
  </si>
  <si>
    <t>National Laboratory of the Rockies</t>
  </si>
  <si>
    <t>Focused Ion Beam, Electron Microscopy, and Autonomous Characterization Intern - Multiple Teams</t>
  </si>
  <si>
    <t>Golden, CO</t>
  </si>
  <si>
    <t>Apply →  nrel.wd5.myworkdayjobs.com/NLR/job/Golden-CO/Graduate-Inte</t>
  </si>
  <si>
    <t>Product Designer, Internship - US Government</t>
  </si>
  <si>
    <t>Apply →  jobs.lever.co/palantir/9db71277-3a9a-481b-a2a3-25c3125b0e8</t>
  </si>
  <si>
    <t>2026-08-01</t>
  </si>
  <si>
    <t>Sargent &amp; Lundy</t>
  </si>
  <si>
    <t>AI &amp; Automation Intern - Summer 2027</t>
  </si>
  <si>
    <t>Wilmington, DE</t>
  </si>
  <si>
    <t>Apply →  careers-sargentlundy.icims.com/jobs/25857/job?mobile=true&amp;</t>
  </si>
  <si>
    <t>Data Engineer Intern - Ads Targeting</t>
  </si>
  <si>
    <t>Apply →  lifeattiktok.com/search/7668533140146817333</t>
  </si>
  <si>
    <t>Data Science Intern - Integrity and Safety</t>
  </si>
  <si>
    <t>Apply →  lifeattiktok.com/search/7669682935444900149</t>
  </si>
  <si>
    <t>Data Science Intern - TikTok Live</t>
  </si>
  <si>
    <t>Apply →  lifeattiktok.com/search/7669700822370945333</t>
  </si>
  <si>
    <t>Data Science Intern - TikTok Product</t>
  </si>
  <si>
    <t>Apply →  lifeattiktok.com/search/7669683639101884725</t>
  </si>
  <si>
    <t>Strategy Product Manager Intern, Platform Responsibility</t>
  </si>
  <si>
    <t>Apply →  simplify.jobs/p/b6cb7794-c736-4019-b882-94ec5758132d/Strat</t>
  </si>
  <si>
    <t>PM role; $35/hr</t>
  </si>
  <si>
    <t>Veeam Software</t>
  </si>
  <si>
    <t>Software Engineering Intern, Platform, Security &amp; AI</t>
  </si>
  <si>
    <t>Apply →  job-boards.eu.greenhouse.io/veeamsoftware/jobs/4857832101</t>
  </si>
  <si>
    <t>Zipline</t>
  </si>
  <si>
    <t>Flight Test Engineer Intern (Fall 2026)</t>
  </si>
  <si>
    <t>Apply →  zipline.com/open-roles?gh_jid=7767622003</t>
  </si>
  <si>
    <t>Autonomous drone delivery</t>
  </si>
  <si>
    <t>San Bruno, CA</t>
  </si>
  <si>
    <t>Apply →  zipline.com/open-roles?gh_jid=7787509003</t>
  </si>
  <si>
    <t>Drone delivery; CV-relevant</t>
  </si>
  <si>
    <t>49</t>
  </si>
  <si>
    <t>Software Development Engineer Intern, AWS Data Services - Fall 2026 (US)</t>
  </si>
  <si>
    <t>Apply →  amazon.jobs/en/jobs/10412530/software-development-engineer</t>
  </si>
  <si>
    <t>Software Development Engineer Internship</t>
  </si>
  <si>
    <t>Apply →  jobright.ai/jobs/info/6a0fad5383d7144289822170</t>
  </si>
  <si>
    <t>Verify still open</t>
  </si>
  <si>
    <t>Deepgram</t>
  </si>
  <si>
    <t>Software Engineering - Internship (Fall 2026/Summer 2027)</t>
  </si>
  <si>
    <t>Apply →  builtin.com/job/software-engineering-internship/10240509</t>
  </si>
  <si>
    <t>Speech AI company; Fall 2026 also available</t>
  </si>
  <si>
    <t>Apply →  drw.com/work-at-drw/listings/quantitative-research-intern-</t>
  </si>
  <si>
    <t>AI Software Engineer Graduate Intern</t>
  </si>
  <si>
    <t>Apply →  intel.wd1.myworkdayjobs.com/external/job/Virtual-US/AI-Sof</t>
  </si>
  <si>
    <t>Full-Stack Product Engineer Intern - Web + Services</t>
  </si>
  <si>
    <t>Apply →  apply.careers.microsoft.com/careers/job/1970393556922922</t>
  </si>
  <si>
    <t>Software Engineer Intern - Cloud &amp; Distributed Backend</t>
  </si>
  <si>
    <t>Apply →  apply.careers.microsoft.com/careers/job/1970393556922923</t>
  </si>
  <si>
    <t>Notion</t>
  </si>
  <si>
    <t>Software Engineer Intern (Fall 2026)</t>
  </si>
  <si>
    <t>Apply →  jobs.ashbyhq.com/notion/5b15697c-fa91-4511-9482-c98a6ff29f</t>
  </si>
  <si>
    <t>2026-04-06</t>
  </si>
  <si>
    <t>Seven Research</t>
  </si>
  <si>
    <t>Apply →  job-boards.greenhouse.io/sevenresearch/jobs/4894946008</t>
  </si>
  <si>
    <t>Snowflake</t>
  </si>
  <si>
    <t>Software Engineer Intern (Infrastructure)</t>
  </si>
  <si>
    <t>Menlo Park, CA</t>
  </si>
  <si>
    <t>Apply →  jobright.ai/jobs/info/6a296b6ed3ec8317fe13dccf</t>
  </si>
  <si>
    <t>Bellevue, WA</t>
  </si>
  <si>
    <t>Apply →  jobright.ai/jobs/info/6a0ef6e080bf0430c76300d4</t>
  </si>
  <si>
    <t>Software Engineer Intern, Core Engineering</t>
  </si>
  <si>
    <t>Menlo Park, CA; Bellevue, WA</t>
  </si>
  <si>
    <t>Apply →  careers.snowflake.com/us/en/job/SNCOUS0214F57FFF904B4AB58D</t>
  </si>
  <si>
    <t>Software Engineer Intern, Database Engineering</t>
  </si>
  <si>
    <t>Apply →  careers.snowflake.com/us/en/job/SNCOUSFA7B56D5F57047479C17</t>
  </si>
  <si>
    <t>Software Engineer Intern, Infrastructure Automation</t>
  </si>
  <si>
    <t>Apply →  careers.snowflake.com/us/en/job/SNCOUSCC3FB214186D4B439D3F</t>
  </si>
  <si>
    <t>Automated Diagnostics Intern - Software Engineer</t>
  </si>
  <si>
    <t>Apply →  tesla.com/careers/search/job/270521</t>
  </si>
  <si>
    <t>Cell Engineering Intern - Cell Qualification</t>
  </si>
  <si>
    <t>Palo Alto, CA; San Diego, CA</t>
  </si>
  <si>
    <t>Apply →  tesla.com/careers/search/job/278620</t>
  </si>
  <si>
    <t>Winter 2027 or Spring 2027 start</t>
  </si>
  <si>
    <t>Commercial UI Software Engineer Intern - Energy Engineering</t>
  </si>
  <si>
    <t>Apply →  tesla.com/careers/search/job/273723</t>
  </si>
  <si>
    <t>Data Capture Engineering Intern - Energy Engineering</t>
  </si>
  <si>
    <t>Apply →  tesla.com/careers/search/job/273927</t>
  </si>
  <si>
    <t>Energy Engineering Intern - Software Engineer Diagnostics</t>
  </si>
  <si>
    <t>Apply →  tesla.com/careers/search/job/275805</t>
  </si>
  <si>
    <t>2026-07-08</t>
  </si>
  <si>
    <t>Internship, Commercial UI Software Engineer</t>
  </si>
  <si>
    <t>Apply →  jobright.ai/jobs/info/6a2c684b7cd40a338fae63e6</t>
  </si>
  <si>
    <t>Internship, Vehicle Software Engineer - Diagnostic User Interface (Fall 2026)</t>
  </si>
  <si>
    <t>Apply →  tesla.com/careers/search/job/278703</t>
  </si>
  <si>
    <t>$105K-122K</t>
  </si>
  <si>
    <t>Software Developer Intern, Integration Platforms</t>
  </si>
  <si>
    <t>Apply →  tesla.com/careers/search/job/internship-software-developer</t>
  </si>
  <si>
    <t>Software Engineer Intern - Distributed Systems, Energy Engineering</t>
  </si>
  <si>
    <t>Apply →  tesla.com/careers/search/job/275558</t>
  </si>
  <si>
    <t>Software Engineer Intern - Energy Engineering</t>
  </si>
  <si>
    <t>Apply →  tesla.com/careers/search/job/276333</t>
  </si>
  <si>
    <t>Software Engineer Intern - Residential Energy Device Software</t>
  </si>
  <si>
    <t>Apply →  tesla.com/careers/search/job/273810</t>
  </si>
  <si>
    <t>Software Engineer Intern, Maps &amp; Navigation Validation</t>
  </si>
  <si>
    <t>Apply →  tesla.com/careers/search/job/internship-software-engineer-</t>
  </si>
  <si>
    <t>Software Engineer Intern, Service Engineering</t>
  </si>
  <si>
    <t>2026-05-11</t>
  </si>
  <si>
    <t>Software Engineer Intern, Update Systems</t>
  </si>
  <si>
    <t>Software Engineer Intern, Vehicle UI Development</t>
  </si>
  <si>
    <t>Vehicle Software Intern - Torque Path &amp; Chassis Controls</t>
  </si>
  <si>
    <t>Apply →  tesla.com/careers/search/job/274760</t>
  </si>
  <si>
    <t>Controls; posted ~1 month ago</t>
  </si>
  <si>
    <t>Frontend Software Engineer Project Intern - Global CRM</t>
  </si>
  <si>
    <t>Apply →  lifeattiktok.com/search/7654431844394322229</t>
  </si>
  <si>
    <t>48</t>
  </si>
  <si>
    <t>Reliability Engineer, Intern</t>
  </si>
  <si>
    <t>Apply →  nuro.ai/careersitem?gh_jid=7673849</t>
  </si>
  <si>
    <t>Term not stated on listing</t>
  </si>
  <si>
    <t>Generative AI Engineering Intern, Graduate</t>
  </si>
  <si>
    <t>Apply →  careers-peraton.icims.com/jobs/167460/generative-ai-engine</t>
  </si>
  <si>
    <t>Defense; clearance likely; grad-level</t>
  </si>
  <si>
    <t>47</t>
  </si>
  <si>
    <t>Research Engineer Intern</t>
  </si>
  <si>
    <t>Apply →  boards.greenhouse.io/cloudflare/jobs/8089379</t>
  </si>
  <si>
    <t>2026-07-28</t>
  </si>
  <si>
    <t>Software Developer Intern</t>
  </si>
  <si>
    <t>Apply →  deshaw.com/careers/software-developer-intern-new-york-summ</t>
  </si>
  <si>
    <t>Software Developer Intern - New York - Summer 2027</t>
  </si>
  <si>
    <t>Apply →  deshaw.com/careers/5894</t>
  </si>
  <si>
    <t>2026-05-31</t>
  </si>
  <si>
    <t>$127/hr</t>
  </si>
  <si>
    <t>Software Developer, Ph.D. Intern (New York) - Summer 2027</t>
  </si>
  <si>
    <t>Apply →  deshaw.com/careers/software-developer-ph-d-intern-new-york</t>
  </si>
  <si>
    <t>zapply visa col: blank; PhD-level</t>
  </si>
  <si>
    <t>Systems Engineering Intern</t>
  </si>
  <si>
    <t>Apply →  deshaw.com/careers/systems-engineering-intern-new-york-sum</t>
  </si>
  <si>
    <t>Apply →  drw.com/work-at-drw/listings/software-developer-intern-346</t>
  </si>
  <si>
    <t>Software Engineering Intern</t>
  </si>
  <si>
    <t>Apply →  apply.careers.microsoft.com/careers/job/1970393556911730</t>
  </si>
  <si>
    <t>Virtu Financial</t>
  </si>
  <si>
    <t>2027 Internship - Frontend Engineer (UI)</t>
  </si>
  <si>
    <t>Apply →  job-boards.greenhouse.io/virtu/jobs/8657500002</t>
  </si>
  <si>
    <t>Listed pay $260K-302K annualized</t>
  </si>
  <si>
    <t>Software Engineer Intern - Software Engineer</t>
  </si>
  <si>
    <t>Austin, TX; New York, NY</t>
  </si>
  <si>
    <t>Apply →  job-boards.greenhouse.io/virtu/jobs/8624410002</t>
  </si>
  <si>
    <t>2026-07-22</t>
  </si>
  <si>
    <t>Western Digital</t>
  </si>
  <si>
    <t>Fall 2026 PhD Intern - Hardware Development</t>
  </si>
  <si>
    <t>Apply →  jobs.smartrecruiters.com/WesternDigital/744000138191379</t>
  </si>
  <si>
    <t>zapply visa col: H-1B Co.; age 2w; PhD-level</t>
  </si>
  <si>
    <t>46</t>
  </si>
  <si>
    <t>Affinius Capital</t>
  </si>
  <si>
    <t>Summer 2027 Data Scientist Intern</t>
  </si>
  <si>
    <t>San Antonio, TX</t>
  </si>
  <si>
    <t>Apply →  careers-affiniuscapital.icims.com/jobs/2284/summer-2027-da</t>
  </si>
  <si>
    <t>Product Innovation Intern - Credit &amp; Fraud Risk</t>
  </si>
  <si>
    <t>Phoenix, AZ</t>
  </si>
  <si>
    <t>Berkshire Grey</t>
  </si>
  <si>
    <t>Fall 2026 Software Co-op</t>
  </si>
  <si>
    <t>Bedford, MA</t>
  </si>
  <si>
    <t>Apply →  applyguy.ai/jobs?company=Berkshiregrey&amp;job=5243c947-c874-4</t>
  </si>
  <si>
    <t>Warehouse robotics - CV relevant</t>
  </si>
  <si>
    <t>BlackRock</t>
  </si>
  <si>
    <t>2027 Global Product Intern (Non-New York)</t>
  </si>
  <si>
    <t>Apply →  blackrock.wd1.myworkdayjobs.com/BlackRock_Early_Careers_Pr</t>
  </si>
  <si>
    <t>AI and SW Development Engineering Intern</t>
  </si>
  <si>
    <t>Apply →  jobs.smartrecruiters.com/BoschGroup/744000141302469</t>
  </si>
  <si>
    <t>Bosch Home Comfort</t>
  </si>
  <si>
    <t>ADAS Software Engineer Intern</t>
  </si>
  <si>
    <t>Apply →  jobs.smartrecruiters.com/BoschGroup/744000140317669</t>
  </si>
  <si>
    <t>ADAS/CV relevant</t>
  </si>
  <si>
    <t>Bot Auto</t>
  </si>
  <si>
    <t>Deep Learning Engineer Intern</t>
  </si>
  <si>
    <t>Apply →  job-boards.greenhouse.io/botauto/jobs/5289440008</t>
  </si>
  <si>
    <t>2026-07-02</t>
  </si>
  <si>
    <t>Autonomous trucking; CV relevant</t>
  </si>
  <si>
    <t>Caterpillar</t>
  </si>
  <si>
    <t>Part-time Intern - AI Developer</t>
  </si>
  <si>
    <t>Peoria, IL</t>
  </si>
  <si>
    <t>Apply →  applyguy.ai/jobs?company=Caterpillar&amp;job=7f823f50-7d80-4cd</t>
  </si>
  <si>
    <t>Part-time</t>
  </si>
  <si>
    <t>Product Marketing Engineer Intern - AI &amp; Automation</t>
  </si>
  <si>
    <t>Apply →  boards.greenhouse.io/cloudflare/jobs/7781953</t>
  </si>
  <si>
    <t>Artificial Intelligence (AI) IT Intern 2027 - REMOTE</t>
  </si>
  <si>
    <t>Apply →  cnoinc.wd5.myworkdayjobs.com/en-US/careers/job/Carmel-IN/A</t>
  </si>
  <si>
    <t>Remote option</t>
  </si>
  <si>
    <t>Comcast</t>
  </si>
  <si>
    <t>Comcast AI Strategy &amp; Transformation Co-op</t>
  </si>
  <si>
    <t>Philadelphia, PA</t>
  </si>
  <si>
    <t>Apply →  comcast.wd5.myworkdayjobs.com/en-US/comcast_careers/job/PA</t>
  </si>
  <si>
    <t>Strategy/product oriented</t>
  </si>
  <si>
    <t>Software Engineering Intern / Research Intern - Interpretability</t>
  </si>
  <si>
    <t>Apply →  ycombinator.com/companies/ctgt/jobs/b3hTkK4-software-engin</t>
  </si>
  <si>
    <t>DataRobot</t>
  </si>
  <si>
    <t>Agentic AI Intern</t>
  </si>
  <si>
    <t>Apply →  datarobot.wd1.myworkdayjobs.com/en-US/DataRobot_External_C</t>
  </si>
  <si>
    <t>Apply →  jobs.ashbyhq.com/deepgram/dc8693b5-72ce-4ca3-ab15-9c8434d3</t>
  </si>
  <si>
    <t>Voice AI; also Summer 2027 cohort; location not stated</t>
  </si>
  <si>
    <t>Figure</t>
  </si>
  <si>
    <t>Electrical Engineering Intern [Fall 2026]</t>
  </si>
  <si>
    <t>Apply →  job-boards.greenhouse.io/figureai/jobs/4676467006</t>
  </si>
  <si>
    <t>Humanoid robotics; location unverified</t>
  </si>
  <si>
    <t>Embedded Software Intern [Fall 2026]</t>
  </si>
  <si>
    <t>Apply →  job-boards.greenhouse.io/figureai/jobs/4397706006</t>
  </si>
  <si>
    <t>Humanoid robotics embedded software</t>
  </si>
  <si>
    <t>Formlabs</t>
  </si>
  <si>
    <t>Algorithms Software Intern (Fall 2026)</t>
  </si>
  <si>
    <t>Somerville, MA</t>
  </si>
  <si>
    <t>Apply →  applyguy.ai/jobs?company=Formlabs&amp;job=ab003da6-d6bd-4aa1-9</t>
  </si>
  <si>
    <t>2026-07-16</t>
  </si>
  <si>
    <t>3D printing algorithms - geometry/CV relevant</t>
  </si>
  <si>
    <t>General Dynamics Information Technology</t>
  </si>
  <si>
    <t>GDIT 2027 Summer AI &amp; ML Internship</t>
  </si>
  <si>
    <t>Falls Church, VA</t>
  </si>
  <si>
    <t>Apply →  gdit.wd5.myworkdayjobs.com/external_career_site/job/USA-VA</t>
  </si>
  <si>
    <t>Defense contractor; verify clearance/citizenship</t>
  </si>
  <si>
    <t>Gritt Robotics</t>
  </si>
  <si>
    <t>Robot Learning Engineer Intern</t>
  </si>
  <si>
    <t>Apply →  jobs.ashbyhq.com/gritt/5c4737ce-f546-453b-b30d-791a121fb9f</t>
  </si>
  <si>
    <t>2026-07-21</t>
  </si>
  <si>
    <t>Robot learning; CV relevant</t>
  </si>
  <si>
    <t>IMC</t>
  </si>
  <si>
    <t>Apply →  imc.com/us/careers/jobs/4907399101</t>
  </si>
  <si>
    <t>Apply →  imc.com/us/careers/jobs/4907400101</t>
  </si>
  <si>
    <t>AI Security Engineering Intern</t>
  </si>
  <si>
    <t>Hillsboro, OR</t>
  </si>
  <si>
    <t>Apply →  intel.wd1.myworkdayjobs.com/External/job/US-Oregon-Hillsbo</t>
  </si>
  <si>
    <t>Apply →  simplify.jobs/p/438a49bd-1732-4815-b2b2-e048f205949f</t>
  </si>
  <si>
    <t>$48.61-65.77/hr</t>
  </si>
  <si>
    <t>Apply →  simplify.jobs/p/e18b5659-3658-49dd-a554-9ba2b49123a9</t>
  </si>
  <si>
    <t>AI Software Engineering Intern</t>
  </si>
  <si>
    <t>Apply →  intel.wd1.myworkdayjobs.com/External/job/US-Arizona-Phoeni</t>
  </si>
  <si>
    <t>SOC AI Power and Performance Validation Undergrad Intern</t>
  </si>
  <si>
    <t>Folsom, CA</t>
  </si>
  <si>
    <t>Apply →  intel.wd1.myworkdayjobs.com/en-US/external/job/US-Californ</t>
  </si>
  <si>
    <t>Undergrad-targeted</t>
  </si>
  <si>
    <t>IPAM UCLA</t>
  </si>
  <si>
    <t>Student Research Program</t>
  </si>
  <si>
    <t>Apply →  ipam.ucla.edu/programs/student-research-programs/</t>
  </si>
  <si>
    <t>Applied math / ML research</t>
  </si>
  <si>
    <t>LA-Tech.org</t>
  </si>
  <si>
    <t>Technical Intern - Software / Cyber / AI</t>
  </si>
  <si>
    <t>Los Angeles, CA; Remote (US)</t>
  </si>
  <si>
    <t>Apply →  pod4.app.loxo.co/job/Mzk2ODktbmxudnJmeGRuOXM0OHE3ZA==</t>
  </si>
  <si>
    <t>LightGuide</t>
  </si>
  <si>
    <t>Product Innovation Co-op</t>
  </si>
  <si>
    <t>Wixom, MI</t>
  </si>
  <si>
    <t>Apply →  ats.rippling.com/lightguide/jobs/1675cecb-fa30-4ea6-9946-7</t>
  </si>
  <si>
    <t>AR projection company; CV-adjacent</t>
  </si>
  <si>
    <t>Marvell</t>
  </si>
  <si>
    <t>Applied Machine Learning Scientist Intern - PhD</t>
  </si>
  <si>
    <t>Apply →  marvell.wd1.myworkdayjobs.com/en-US/marvellcareers2/job/Sa</t>
  </si>
  <si>
    <t>Semiconductor; PhD</t>
  </si>
  <si>
    <t>OMERS</t>
  </si>
  <si>
    <t>Intern, AI Enablement &amp; Adoption Specialist</t>
  </si>
  <si>
    <t>Apply →  omers.wd3.myworkdayjobs.com/en-US/omers_external/job/New-Y</t>
  </si>
  <si>
    <t>4-month term</t>
  </si>
  <si>
    <t>OpusClip</t>
  </si>
  <si>
    <t>AI Research Intern</t>
  </si>
  <si>
    <t>Apply →  jobs.ashbyhq.com/opusclip/1966160d-8b4a-40f8-96c5-39a6d811</t>
  </si>
  <si>
    <t>Video AI; strong CV match</t>
  </si>
  <si>
    <t>Persona AI</t>
  </si>
  <si>
    <t>Autonomy Software Engineer Intern - World Modeling</t>
  </si>
  <si>
    <t>Apply →  jobs.ashbyhq.com/persona.ai/fd514a3f-4138-48d5-9862-05ff74</t>
  </si>
  <si>
    <t>Humanoid robotics world modeling; top CV match</t>
  </si>
  <si>
    <t>Machine Learning Intern, Manipulation</t>
  </si>
  <si>
    <t>Apply →  jobs.ashbyhq.com/persona.ai/ed9a7425-9798-471e-b46a-fefd59</t>
  </si>
  <si>
    <t>Robot manipulation; CV relevant</t>
  </si>
  <si>
    <t>Rockwell Automation</t>
  </si>
  <si>
    <t>Intern, Applied AI</t>
  </si>
  <si>
    <t>Apply →  rockwellautomation.wd1.myworkdayjobs.com/External_Rockwell</t>
  </si>
  <si>
    <t>Salesforce</t>
  </si>
  <si>
    <t>AI Builder, Emerging Talent</t>
  </si>
  <si>
    <t>Apply →  salesforce.wd12.myworkdayjobs.com/en-US/External_Career_Si</t>
  </si>
  <si>
    <t>Emerging talent AI program</t>
  </si>
  <si>
    <t>Associate Product Manager Intern</t>
  </si>
  <si>
    <t>Apply →  salesforce.wd12.myworkdayjobs.com/External_Career_Site/job</t>
  </si>
  <si>
    <t>Saronic</t>
  </si>
  <si>
    <t>Enterprise Technology Intern - AI and Automation</t>
  </si>
  <si>
    <t>Apply →  jobs.ashbyhq.com/saronic/c95c2e3a-4c67-47b0-a03d-0e0317ac1</t>
  </si>
  <si>
    <t>Defense autonomy co; US-person rules likely</t>
  </si>
  <si>
    <t>Information Technology Intern (Fall 2026)</t>
  </si>
  <si>
    <t>Apply →  jobs.ashbyhq.com/saronic/41012936-b4a2-4d4d-9252-00dc7cc9b</t>
  </si>
  <si>
    <t>Defense autonomy; US-person rules likely</t>
  </si>
  <si>
    <t>Apply →  jobs.ashbyhq.com/saronic/1c74957f-0895-415b-9324-08b099474</t>
  </si>
  <si>
    <t>Test Engineer Intern (Fall 2026)</t>
  </si>
  <si>
    <t>Apply →  jobs.ashbyhq.com/saronic/927985ae-7a48-4628-9e03-36510d64f</t>
  </si>
  <si>
    <t>SRI International</t>
  </si>
  <si>
    <t>Computer Science Intern</t>
  </si>
  <si>
    <t>Apply →  careers-sri.icims.com/jobs/6438/job</t>
  </si>
  <si>
    <t>SRI does CV/vision research; verify clearance</t>
  </si>
  <si>
    <t>StepStone Group</t>
  </si>
  <si>
    <t>2027 AI Initiatives PhD Internship</t>
  </si>
  <si>
    <t>La Jolla, CA</t>
  </si>
  <si>
    <t>Apply →  stepstonegroup.com/current-opportunities/?gh_jid=8096268</t>
  </si>
  <si>
    <t>PhD</t>
  </si>
  <si>
    <t>AI Intern</t>
  </si>
  <si>
    <t>Apply →  boards.greenhouse.io/embed/job_app?token=8096268</t>
  </si>
  <si>
    <t>Business Analytics AI Co-op with Drexel University</t>
  </si>
  <si>
    <t>Apply →  careers-sig.icims.com/jobs/10865/business-analytics-ai-co-</t>
  </si>
  <si>
    <t>Drexel students only</t>
  </si>
  <si>
    <t>Equity Options AI Co-op with Drexel University</t>
  </si>
  <si>
    <t>Apply →  careers-sig.icims.com/jobs/11078/equity-options-ai-co-op-w</t>
  </si>
  <si>
    <t>Drexel co-op partnership only</t>
  </si>
  <si>
    <t>Financial Reporting AI Co-op with Drexel University</t>
  </si>
  <si>
    <t>Apply →  careers-sig.icims.com/jobs/11137/financial-reporting-ai-co</t>
  </si>
  <si>
    <t>Unity</t>
  </si>
  <si>
    <t>ML Infrastructure Engineer Intern</t>
  </si>
  <si>
    <t>Apply →  jobright.ai/jobs/info/6a2a2ce30c4972328e7e75fc</t>
  </si>
  <si>
    <t>Robotics Software Intern - Manipulation &amp; Simulation</t>
  </si>
  <si>
    <t>Apply →  jobs.ashbyhq.com/valstad/8478558b-c5b5-43d2-b9c0-eae7a1fb3</t>
  </si>
  <si>
    <t>Robotics manipulation/sim; strong CV match</t>
  </si>
  <si>
    <t>Voloridge Investment Management</t>
  </si>
  <si>
    <t>Jupiter, FL</t>
  </si>
  <si>
    <t>Apply →  voloridge-investment-management.hiringthing.com/job/101013</t>
  </si>
  <si>
    <t>WUSTL McKelvey School of Engineering</t>
  </si>
  <si>
    <t>International Student Research Internship Program</t>
  </si>
  <si>
    <t>Apply →  engineering.wustl.edu/academics/undergraduate-research/int</t>
  </si>
  <si>
    <t>Explicitly for international students</t>
  </si>
  <si>
    <t>Apply →  builtinsf.com/job/software-engineer-intern-fall-2026/99671</t>
  </si>
  <si>
    <t>Drone delivery; robotics-adjacent</t>
  </si>
  <si>
    <t>45</t>
  </si>
  <si>
    <t>Anterior</t>
  </si>
  <si>
    <t>Clinical AI Intern</t>
  </si>
  <si>
    <t>Apply →  jobs.ashbyhq.com/anterior/550c48f9-eb2e-4d5e-80ff-8db076b4</t>
  </si>
  <si>
    <t>Health AI startup; repo marks sponsor</t>
  </si>
  <si>
    <t>Brunswick</t>
  </si>
  <si>
    <t>Computer Graphics Software Developer Intern</t>
  </si>
  <si>
    <t>Champaign, IL</t>
  </si>
  <si>
    <t>Apply →  brunswick.wd1.myworkdayjobs.com/en-US/search/job/Champaign</t>
  </si>
  <si>
    <t>CV-relevant: computer graphics</t>
  </si>
  <si>
    <t>Contoro Robotics</t>
  </si>
  <si>
    <t>Robotics Test &amp; Validation Intern</t>
  </si>
  <si>
    <t>Apply →  jobs.ashbyhq.com/contoro/7de98745-6a26-4a96-b82c-0cecf4900</t>
  </si>
  <si>
    <t>CRA / NSF</t>
  </si>
  <si>
    <t>DREU - Distributed Research Experiences for Undergraduates</t>
  </si>
  <si>
    <t>Apply →  cra.jotform.com/242948236029866</t>
  </si>
  <si>
    <t>Undergrad-focused; US institutions</t>
  </si>
  <si>
    <t>Field AI</t>
  </si>
  <si>
    <t>Robotics Research Intern, Robot Learning and Control</t>
  </si>
  <si>
    <t>Apply →  jobs.lever.co/field-ai/a03d3102-4ebf-4557-9e0e-537ead53e24</t>
  </si>
  <si>
    <t>zapply visa col: Sponsor; age 3mo</t>
  </si>
  <si>
    <t>GoodRx</t>
  </si>
  <si>
    <t>AI Agent Developer Intern</t>
  </si>
  <si>
    <t>New York City, NY</t>
  </si>
  <si>
    <t>Apply →  goodrx.wd1.myworkdayjobs.com/Careers/job/New-York-City-NY/</t>
  </si>
  <si>
    <t>2026-05-12</t>
  </si>
  <si>
    <t>Agentic AI development</t>
  </si>
  <si>
    <t>Autonomy Software Engineering Internship - World Modeling</t>
  </si>
  <si>
    <t>Plus</t>
  </si>
  <si>
    <t>Software Engineer Intern - Data</t>
  </si>
  <si>
    <t>Apply →  jobs.lever.co/plus-2/012a2134-8a6a-4982-8f25-f906178a24e4/</t>
  </si>
  <si>
    <t>autonomous trucking</t>
  </si>
  <si>
    <t>Software Engineer Intern - Data Infrastructure and Tools</t>
  </si>
  <si>
    <t>Apply →  jobs.lever.co/plus-2/06b808df-85a1-4ddd-863c-3e1cbe61eda9/</t>
  </si>
  <si>
    <t>Software Engineer Intern - Robotics</t>
  </si>
  <si>
    <t>Apply →  jobs.lever.co/plus-2/7a1afea9-b468-4b7c-a508-185e8e4032db/</t>
  </si>
  <si>
    <t>autonomous trucking - CV-relevant</t>
  </si>
  <si>
    <t>Software Engineer Intern - Runtime - Robotics</t>
  </si>
  <si>
    <t>Apply →  jobs.lever.co/plus-2/a3bcdba6-b0d0-46ba-9af3-a387926a6fb4/</t>
  </si>
  <si>
    <t>Plus AI</t>
  </si>
  <si>
    <t>Deep Learning Intern</t>
  </si>
  <si>
    <t>Apply →  jobs.lever.co/plus-2/58d77886-bf3a-4707-8af8-e1af47162e2e/</t>
  </si>
  <si>
    <t>Autonomous trucking; strong CV match</t>
  </si>
  <si>
    <t>Apply →  jobs.lever.co/plus-2/5d71c173-fef1-409f-b3f0-750e3b828266/</t>
  </si>
  <si>
    <t>Autonomous trucking; CV-relevant</t>
  </si>
  <si>
    <t>Machine Learning Engineer Intern - Planner</t>
  </si>
  <si>
    <t>Apply →  jobs.lever.co/plus-2/91a07eb1-2244-48bf-a65b-dc166a327ddc/</t>
  </si>
  <si>
    <t>Autonomous driving planner; CV-adjacent</t>
  </si>
  <si>
    <t>Apply →  jobs.lever.co/plus-2/7a1afea9-b468-4b7c-a508-185e8e4032db</t>
  </si>
  <si>
    <t>zapply visa col: H-1B Co.; age 2mo</t>
  </si>
  <si>
    <t>Pony.ai</t>
  </si>
  <si>
    <t>Software Engineer Intern - Generalist</t>
  </si>
  <si>
    <t>Apply →  apply.workable.com/pony-dot-ai/j/BA5FFDBC71/</t>
  </si>
  <si>
    <t>autonomous driving - CV-relevant</t>
  </si>
  <si>
    <t>Toyota Research Institute</t>
  </si>
  <si>
    <t>Human-Centered AI Intern</t>
  </si>
  <si>
    <t>Los Altos, CA</t>
  </si>
  <si>
    <t>Apply →  jobs.lever.co/tri/000be2f3-b77c-4719-8476-0718c4c49a19/app</t>
  </si>
  <si>
    <t>TRI research; robotics/CV adjacent</t>
  </si>
  <si>
    <t>XPENG Motors</t>
  </si>
  <si>
    <t>AI Intern - VLA Deployment</t>
  </si>
  <si>
    <t>Apply →  job-boards.greenhouse.io/xpengmotors/jobs/8535409002</t>
  </si>
  <si>
    <t>Vision-language-action models; top CV match</t>
  </si>
  <si>
    <t>44</t>
  </si>
  <si>
    <t>Software Undergrad Engineering Internships</t>
  </si>
  <si>
    <t>Apply →  jobs.apple.com/en-us/details/200664785-3810/software-under</t>
  </si>
  <si>
    <t>Apply →  jobs.apple.com/en-us/details/200664785-3810</t>
  </si>
  <si>
    <t>2026-06-23</t>
  </si>
  <si>
    <t>$47/hr; undergrad-focused req</t>
  </si>
  <si>
    <t>Blue River Technology</t>
  </si>
  <si>
    <t>2026 Machine Learning Intern - Autonomy</t>
  </si>
  <si>
    <t>Apply →  bluerivertechnology.com/job/?gh_jid=7947246</t>
  </si>
  <si>
    <t>CV-relevant: ag robotics autonomy</t>
  </si>
  <si>
    <t>Remote (US); Mountain View, CA</t>
  </si>
  <si>
    <t>CV-relevant: video AI product</t>
  </si>
  <si>
    <t>Forward Deployed Software Engineer Intern - Defense Tech</t>
  </si>
  <si>
    <t>Apply →  jobs.lever.co/palantir/cccfe1bd-f15b-4fe5-b044-c793e7961c1</t>
  </si>
  <si>
    <t>Defense Tech; US-person likely. 2028 terms</t>
  </si>
  <si>
    <t>Forward Deployed Software Engineer Intern - Intel</t>
  </si>
  <si>
    <t>Apply →  jobs.lever.co/palantir/9e40d77f-b07c-437b-98e7-def9b0184d8</t>
  </si>
  <si>
    <t>Winter 2027; intel work, clearance likely required</t>
  </si>
  <si>
    <t>Forward Deployed Software Engineer Intern - US Government</t>
  </si>
  <si>
    <t>Apply →  jobs.lever.co/palantir/e6ff8bf2-135e-474d-ad37-24f490ae1dd</t>
  </si>
  <si>
    <t>USG work; clearance/citizenship likely. 2028 terms</t>
  </si>
  <si>
    <t>Apply →  jobs.lever.co/palantir/bdcfb29f-4f27-42de-933f-7f83a359b9f</t>
  </si>
  <si>
    <t>Apply →  jobs.lever.co/palantir/e27af7ab-41fc-40c9-b31d-02c6cb1c505</t>
  </si>
  <si>
    <t>Denver, CO</t>
  </si>
  <si>
    <t>Apply →  jobs.lever.co/palantir/373eb939-6f57-4836-8479-be79a5e0724</t>
  </si>
  <si>
    <t>Apply →  jobs.lever.co/palantir/f221738b-e97c-4ce3-a12a-17ada2b855e</t>
  </si>
  <si>
    <t>Apply →  jobs.lever.co/palantir/373367a9-3160-49d8-b7af-2efec062fad</t>
  </si>
  <si>
    <t>Apply →  jobs.lever.co/palantir/3ab9e715-1ea9-4c6c-ad50-7340eac14e8</t>
  </si>
  <si>
    <t>Year at Palantir - Forward Deployed Software Engineer, Internship - Chicago, IL</t>
  </si>
  <si>
    <t>Apply →  jobs.lever.co/palantir/75cc1c09-8ebd-44c8-b3bc-d122cd1fecb</t>
  </si>
  <si>
    <t>zapply visa col: Sponsor; age 1mo; defense/gov - verify US-person rule</t>
  </si>
  <si>
    <t>Year at Palantir, Forward Deployed Software Engineer Internship, USG</t>
  </si>
  <si>
    <t>Apply →  jobs.lever.co/palantir/5c4c65c5-77da-4d36-856c-4ade8763101</t>
  </si>
  <si>
    <t>USG work; clearance likely required</t>
  </si>
  <si>
    <t>Electronic Design Engineer Internship</t>
  </si>
  <si>
    <t>Apply →  tesla.com/careers/search/job/267750</t>
  </si>
  <si>
    <t>Electronics Design Engineer Intern</t>
  </si>
  <si>
    <t>Apply →  tesla.com/careers/search/job/272601</t>
  </si>
  <si>
    <t>Powertrain Manufacturing Automation Controls Engineering Intern</t>
  </si>
  <si>
    <t>Apply →  simplify.jobs/p/b01f25b9-8381-471d-aca0-74c56a1709fe/Power</t>
  </si>
  <si>
    <t>Software Engineer Intern - Multiple Teams</t>
  </si>
  <si>
    <t>Apply →  tesla.com/careers/search/job/271372</t>
  </si>
  <si>
    <t>Posted today per repo feed</t>
  </si>
  <si>
    <t>Software Engineer Intern - Software Engineering</t>
  </si>
  <si>
    <t>Apply →  tesla.com/careers/search/job/271362</t>
  </si>
  <si>
    <t>Software Engineer Intern - Wireless Connectivity</t>
  </si>
  <si>
    <t>Apply →  tesla.com/careers/search/job/269792</t>
  </si>
  <si>
    <t>Software Engineer Intern, Vehicle Engineering</t>
  </si>
  <si>
    <t>Palo Alto, CA; Fremont, CA</t>
  </si>
  <si>
    <t>Apply →  tesla.com/careers/search/job/267767?jr_id=69dd6930bc6f6622</t>
  </si>
  <si>
    <t>Artificial Intelligence Engineer Intern - Client Architecture</t>
  </si>
  <si>
    <t>Apply →  lifeattiktok.com/search/7667935738190465285</t>
  </si>
  <si>
    <t>Backend Software Engineer Intern - Messaging</t>
  </si>
  <si>
    <t>Apply →  lifeattiktok.com/search/7538301580093720840</t>
  </si>
  <si>
    <t>Production System Engineer Project Intern</t>
  </si>
  <si>
    <t>Apply →  joinbytedance.com/search/7662449816279419141</t>
  </si>
  <si>
    <t>Software Development Engineer Intern</t>
  </si>
  <si>
    <t>Apply →  jobs.bytedance.com/en/position/7537152240618195208/detail</t>
  </si>
  <si>
    <t>Apply →  jobs.bytedance.com/en/position/7537152632018012424/detail</t>
  </si>
  <si>
    <t>Software Engineer Intern - Global Payment - Compliance</t>
  </si>
  <si>
    <t>Apply →  jobs.bytedance.com/en/position/7669774721406208261/detail</t>
  </si>
  <si>
    <t>Software Engineer Intern - Monetization</t>
  </si>
  <si>
    <t>Apply →  lifeattiktok.com/search/7561941583777941813</t>
  </si>
  <si>
    <t>Software Engineer Intern - Payment Network</t>
  </si>
  <si>
    <t>Apply →  jobs.bytedance.com/en/position/7533369475380070663/detail</t>
  </si>
  <si>
    <t>Software Engineer Intern, Distributed NoSQL Database Systems</t>
  </si>
  <si>
    <t>Apply →  joinbytedance.com/search/7668373268886161669</t>
  </si>
  <si>
    <t>Software Engineer Intern, Privacy and Security</t>
  </si>
  <si>
    <t>Apply →  lifeattiktok.com/search/7667935739300317493</t>
  </si>
  <si>
    <t>Software Engineer Intern, Shoot Experience Optimization</t>
  </si>
  <si>
    <t>Apply →  lifeattiktok.com/search/7668921505254410549</t>
  </si>
  <si>
    <t>Software Engineer Project Intern - Model Infrastructure - 2026 Start - BS/MS</t>
  </si>
  <si>
    <t>Apply →  lifeattiktok.com/search/7624284785283746053</t>
  </si>
  <si>
    <t>$60/hr; model infra</t>
  </si>
  <si>
    <t>43</t>
  </si>
  <si>
    <t>Argmax</t>
  </si>
  <si>
    <t>On-device AI Frameworks Engineer Intern</t>
  </si>
  <si>
    <t>Apply →  job-boards.greenhouse.io/argmax/jobs/4067268009</t>
  </si>
  <si>
    <t>Bild AI</t>
  </si>
  <si>
    <t>AI/Software Engineer Intern</t>
  </si>
  <si>
    <t>Apply →  jobs.ashbyhq.com/bild-ai/b333f0f7-0ca6-4509-8697-9303396b5</t>
  </si>
  <si>
    <t>BMO</t>
  </si>
  <si>
    <t>Machine Learning Intern</t>
  </si>
  <si>
    <t>Apply →  bmo.wd3.myworkdayjobs.com/Privileged/job/Chicago-IL-USA/Ma</t>
  </si>
  <si>
    <t>4-month Fall 2026 internship</t>
  </si>
  <si>
    <t>Center for AI Safety</t>
  </si>
  <si>
    <t>Research Engineer Intern (Fall 2026)</t>
  </si>
  <si>
    <t>Apply →  jobs.lever.co/aisafety/e011814b-9a80-43d6-bb0c-cc153ea4bec</t>
  </si>
  <si>
    <t>2026-03-05</t>
  </si>
  <si>
    <t>AI safety research</t>
  </si>
  <si>
    <t>Cirrus Logic</t>
  </si>
  <si>
    <t>Fall 2026 Co-Op - Embedded Software AI Intern</t>
  </si>
  <si>
    <t>Apply →  jobs.eu.lever.co/cirrus/3d6df577-91f6-4b58-9e7f-c982e49ff5</t>
  </si>
  <si>
    <t>embedded AI</t>
  </si>
  <si>
    <t>Citi</t>
  </si>
  <si>
    <t>Markets Quantitative Analysis Summer Analyst</t>
  </si>
  <si>
    <t>Apply →  jobs.citi.com/job/new-york/markets-quantitative-analysis-s</t>
  </si>
  <si>
    <t>Quantitative Analyst and Software Developer Intern - Summer 2027</t>
  </si>
  <si>
    <t>Apply →  deshaw.com/careers/5906</t>
  </si>
  <si>
    <t>2026-06-08</t>
  </si>
  <si>
    <t>Quantitative Analyst Intern (PhD)</t>
  </si>
  <si>
    <t>Apply →  deshaw.com/careers/5891</t>
  </si>
  <si>
    <t>PhD-level; $127/hr</t>
  </si>
  <si>
    <t>Quantitative Analyst Intern - New York - Summer 2027</t>
  </si>
  <si>
    <t>Apply →  deshaw.com/careers/5890</t>
  </si>
  <si>
    <t>2026-06-04</t>
  </si>
  <si>
    <t>Etched</t>
  </si>
  <si>
    <t>Chip Simulation Software Intern - Fall 2026</t>
  </si>
  <si>
    <t>Apply →  jobs.ashbyhq.com/etched/27e5bd6b-9357-45f0-9e79-cfa2bf4eeb</t>
  </si>
  <si>
    <t>2026-06-21</t>
  </si>
  <si>
    <t>AI chip startup</t>
  </si>
  <si>
    <t>Apply →  jumptrading.com/hr/job?gh_jid=7848371</t>
  </si>
  <si>
    <t>2026-07-09</t>
  </si>
  <si>
    <t>Software Engineer Intern - Data Platform &amp; Analytics</t>
  </si>
  <si>
    <t>Apply →  apply.careers.microsoft.com/careers/job/1970393556922931</t>
  </si>
  <si>
    <t>Apply →  careers.point72.com/CSJobDetail?jobName=summer-2027-quanti</t>
  </si>
  <si>
    <t>2026-04-19</t>
  </si>
  <si>
    <t>Summer 2027 Quantitative Developer Internship</t>
  </si>
  <si>
    <t>Rivian and Volkswagen Group Technologies</t>
  </si>
  <si>
    <t>Data Engineering Intern - AI &amp; Analytics (Fall 2026)</t>
  </si>
  <si>
    <t>Apply →  jobs.ashbyhq.com/rivianvw.tech/3864f83a-7b29-4c96-b00e-436</t>
  </si>
  <si>
    <t>Location unverified</t>
  </si>
  <si>
    <t>2026 Fall Intern, ML/NLP Research</t>
  </si>
  <si>
    <t>4 locations</t>
  </si>
  <si>
    <t>SharkNinja</t>
  </si>
  <si>
    <t>Fall 2026: SharkByte Applied AI &amp; Analytics Co-op</t>
  </si>
  <si>
    <t>Miami, FL</t>
  </si>
  <si>
    <t>Apply →  job-boards.greenhouse.io/sharkninjaoperatingllc/jobs/46696</t>
  </si>
  <si>
    <t>2026-04-02</t>
  </si>
  <si>
    <t>Jul/Aug-Dec; 9 locations</t>
  </si>
  <si>
    <t>Derivatives Sales Trader Intern - Summer 2027</t>
  </si>
  <si>
    <t>Apply →  careers-sig.icims.com/jobs/10626/job</t>
  </si>
  <si>
    <t>Quantitative Strategy Developer Intern</t>
  </si>
  <si>
    <t>Bala Cynwyd, PA; Chicago, IL; New York, NY</t>
  </si>
  <si>
    <t>Apply →  careers.sig.com/intern-co-op/jobs/10838</t>
  </si>
  <si>
    <t>SIG</t>
  </si>
  <si>
    <t>Quantitative Systematic Trading Intern</t>
  </si>
  <si>
    <t>Apply →  careers-sig.icims.com/jobs/10824/job</t>
  </si>
  <si>
    <t>Quantitative Systematic Trading Intern - Masters</t>
  </si>
  <si>
    <t>Apply →  careers.sig.com/jobs/10823</t>
  </si>
  <si>
    <t>Quantitative Systematic Trading Intern - PhD</t>
  </si>
  <si>
    <t>Apply →  careers.sig.com/jobs/10822</t>
  </si>
  <si>
    <t>Apply →  careers-sig.icims.com/jobs/10822/job</t>
  </si>
  <si>
    <t>Quantitative Trading Internship</t>
  </si>
  <si>
    <t>Apply →  careers.sig.com/quantitative-trading-internships-co-ops/jo</t>
  </si>
  <si>
    <t>Trading System Engineering Intern</t>
  </si>
  <si>
    <t>Apply →  careers.sig.com/intern-co-op-technology/jobs/10837</t>
  </si>
  <si>
    <t>Tenstorrent</t>
  </si>
  <si>
    <t>Software Engineer Intern - Power Modeling &amp; AI Tools</t>
  </si>
  <si>
    <t>Apply →  job-boards.greenhouse.io/tenstorrentuniversity/jobs/518691</t>
  </si>
  <si>
    <t>Data Engineer Intern - Cell Engineering</t>
  </si>
  <si>
    <t>Apply →  tesla.com/careers/search/job/278622</t>
  </si>
  <si>
    <t>Data Science Project Intern, TikTok Shop Supply Chain &amp; Logistics (BS/MS)</t>
  </si>
  <si>
    <t>Apply →  lifeattiktok.com/search/7644719084681234741</t>
  </si>
  <si>
    <t>Tower Research Capital</t>
  </si>
  <si>
    <t>Quantitative Developer Intern</t>
  </si>
  <si>
    <t>Apply →  tower-research.com/open-positions?gh_jid=8044334</t>
  </si>
  <si>
    <t>Quantitative Developer Intern - Summer 2027</t>
  </si>
  <si>
    <t>New York, NY; Chicago, IL</t>
  </si>
  <si>
    <t>Apply →  tower-research.com/open-positions/?gh_jid=8044334</t>
  </si>
  <si>
    <t>Apply →  job-boards.greenhouse.io/towerresearchcapital/jobs/8024128</t>
  </si>
  <si>
    <t>Quantitative Trader Intern - PhD</t>
  </si>
  <si>
    <t>Apply →  tower-research.com/open-positions/?gh_jid=8024138</t>
  </si>
  <si>
    <t>2027 Internship - Quantitative Researcher (Undergraduate)</t>
  </si>
  <si>
    <t>New York, NY; Austin, TX</t>
  </si>
  <si>
    <t>Apply →  job-boards.greenhouse.io/virtu/jobs/8142539002</t>
  </si>
  <si>
    <t>Xsolla</t>
  </si>
  <si>
    <t>AI-First Engineer Intern</t>
  </si>
  <si>
    <t>Raleigh, NC</t>
  </si>
  <si>
    <t>Apply →  jobs.lever.co/xsolla/5d5fd6b3-d82f-437a-b251-abf4674ac874/</t>
  </si>
  <si>
    <t>Apply →  jobs.lever.co/xsolla/1c0e5375-2352-4a2c-a816-48ddebbdd3d6/</t>
  </si>
  <si>
    <t>42</t>
  </si>
  <si>
    <t>Block</t>
  </si>
  <si>
    <t>Applied Research Intern - Proactive Insights</t>
  </si>
  <si>
    <t>Bay Area, CA</t>
  </si>
  <si>
    <t>Apply →  block.xyz/careers/jobs/5108007008?gh_jid=5108007008</t>
  </si>
  <si>
    <t>Active visa sponsor</t>
  </si>
  <si>
    <t>Ensemble Health Partners</t>
  </si>
  <si>
    <t>Data Scientist Intern - AI</t>
  </si>
  <si>
    <t>Apply →  ensemblehp.wd5.myworkdayjobs.com/ensemblehealthpartnerscar</t>
  </si>
  <si>
    <t>Exabeam</t>
  </si>
  <si>
    <t>AI Deployment Intern</t>
  </si>
  <si>
    <t>Apply →  jobs.jobvite.com/exabeam/job/oRNAAfwy</t>
  </si>
  <si>
    <t>Indiana University Luddy School</t>
  </si>
  <si>
    <t>GTAP Summer Research Fellowship</t>
  </si>
  <si>
    <t>Bloomington, IN</t>
  </si>
  <si>
    <t>Apply →  luddy.indiana.edu/research/student-research/fellowship.htm</t>
  </si>
  <si>
    <t>Quantitative Research Intern - Markets - Analyst</t>
  </si>
  <si>
    <t>Quantitative Research Intern - Risk and Treasury</t>
  </si>
  <si>
    <t>Plano, TX; Chicago, IL; NYC</t>
  </si>
  <si>
    <t>Quantitative Research Summer Analyst Intern - Asset Management</t>
  </si>
  <si>
    <t>Princeton University</t>
  </si>
  <si>
    <t>Summer Research Program (Engineering)</t>
  </si>
  <si>
    <t>Princeton, NJ</t>
  </si>
  <si>
    <t>Apply →  undergraduateresearch.princeton.edu/programs/summer-progra</t>
  </si>
  <si>
    <t>Quantic (Walleye Capital)</t>
  </si>
  <si>
    <t>Apply →  job-boards.greenhouse.io/walleyecapital-external-students/</t>
  </si>
  <si>
    <t>Simple Technology Solutions</t>
  </si>
  <si>
    <t>AI Apprentice</t>
  </si>
  <si>
    <t>Apply →  job-boards.greenhouse.io/simpletechnologysolutions/jobs/61</t>
  </si>
  <si>
    <t>Fully remote</t>
  </si>
  <si>
    <t>Product Design Engineer Intern</t>
  </si>
  <si>
    <t>Apply →  jobs.ashbyhq.com/skydio/ce482813-99c2-4eaa-a165-2ed2012491</t>
  </si>
  <si>
    <t>$85K-121K</t>
  </si>
  <si>
    <t>Stanford University</t>
  </si>
  <si>
    <t>SURF Summer Research (Engineering)</t>
  </si>
  <si>
    <t>Stanford, CA</t>
  </si>
  <si>
    <t>Apply →  engineering.stanford.edu/students-academics/equity-and-inc</t>
  </si>
  <si>
    <t>UC Berkeley EECS</t>
  </si>
  <si>
    <t>SUPERB Summer Research Program</t>
  </si>
  <si>
    <t>Berkeley, CA</t>
  </si>
  <si>
    <t>Apply →  eecs.berkeley.edu/resources/undergrads/research/superb</t>
  </si>
  <si>
    <t>Undergrad-focused summer research</t>
  </si>
  <si>
    <t>UC Davis</t>
  </si>
  <si>
    <t>GREAT Summer Program</t>
  </si>
  <si>
    <t>Davis, CA</t>
  </si>
  <si>
    <t>Apply →  great.ucdavis.edu/</t>
  </si>
  <si>
    <t>University of Rochester</t>
  </si>
  <si>
    <t>Research Co-op Student</t>
  </si>
  <si>
    <t>Rochester, NY</t>
  </si>
  <si>
    <t>Apply →  rochester.wd5.myworkdayjobs.com/UR_Staff/job/Laboratory-fo</t>
  </si>
  <si>
    <t>Research Student I Co-op - Electronics Shop</t>
  </si>
  <si>
    <t>Apply →  rochester.wd5.myworkdayjobs.com/UR_Staff/job/Rochester---N</t>
  </si>
  <si>
    <t>Quantitative Research Fellowship</t>
  </si>
  <si>
    <t>Apply →  voloridge.com/jobs/voloridgeinvestmentmanagement/422495000</t>
  </si>
  <si>
    <t>Fellowship program</t>
  </si>
  <si>
    <t>41</t>
  </si>
  <si>
    <t>American Rare Earths</t>
  </si>
  <si>
    <t>AI Engineer Intern</t>
  </si>
  <si>
    <t>Apply →  ats.rippling.com/usare/jobs/8db9bb37-aa5f-40e0-96ac-d1c4ca</t>
  </si>
  <si>
    <t>Ancestry</t>
  </si>
  <si>
    <t>Machine Learning Engineer Co-op</t>
  </si>
  <si>
    <t>Apply →  ancestry.wd501.myworkdayjobs.com/Careers/job/Remote/Machin</t>
  </si>
  <si>
    <t>Astreya</t>
  </si>
  <si>
    <t>AI Infrastructure DC Design Intern</t>
  </si>
  <si>
    <t>Apply →  astreya.wd5.myworkdayjobs.com/life-at-astreya-opportunitie</t>
  </si>
  <si>
    <t>zapply visa col: H-1B Co.; age 1mo</t>
  </si>
  <si>
    <t>Cadent</t>
  </si>
  <si>
    <t>Enterprise AI Intern</t>
  </si>
  <si>
    <t>Apply →  careers-cadent.icims.com/jobs/1406/enterprise-ai-intern/jo</t>
  </si>
  <si>
    <t>2026-07-23</t>
  </si>
  <si>
    <t>Campbell Soup Company</t>
  </si>
  <si>
    <t>Agentic AI Engineer Co-Op</t>
  </si>
  <si>
    <t>Apply →  campbellsoup.wd5.myworkdayjobs.com/externalcareers_globals</t>
  </si>
  <si>
    <t>Fully remote; H-1B sponsor</t>
  </si>
  <si>
    <t>Capital One</t>
  </si>
  <si>
    <t>Master's Data Science Internship</t>
  </si>
  <si>
    <t>McLean, VA; Cambridge, MA; New York, NY (8 locations)</t>
  </si>
  <si>
    <t>Apply →  capitalone.wd12.myworkdayjobs.com/Capital_One/job/McLean-V</t>
  </si>
  <si>
    <t>Masters/PhD-level role</t>
  </si>
  <si>
    <t>PhD Data Science Intern</t>
  </si>
  <si>
    <t>Clerkie</t>
  </si>
  <si>
    <t>Software Engineer Internship</t>
  </si>
  <si>
    <t>Apply →  getfiber.ai/careers?gh_jid=5152467007</t>
  </si>
  <si>
    <t>repo lists Clerkie; board is getfiber.ai</t>
  </si>
  <si>
    <t>Cohere Health</t>
  </si>
  <si>
    <t>Apply →  job-boards.greenhouse.io/coherehealth/jobs/7734482003</t>
  </si>
  <si>
    <t>Robotics Engineer Intern - Test &amp; Validation</t>
  </si>
  <si>
    <t>Apply →  jobs.ashbyhq.com/contoro/cf7c8043-8fbe-4c7e-b91f-ee6db2a61</t>
  </si>
  <si>
    <t>Warehouse robotics</t>
  </si>
  <si>
    <t>Egra</t>
  </si>
  <si>
    <t>AI Researcher / Engineer Intern</t>
  </si>
  <si>
    <t>Apply →  jobs.ashbyhq.com/egra/6f295102-6330-4a9e-9fc4-9b414e620003</t>
  </si>
  <si>
    <t>Eulerity</t>
  </si>
  <si>
    <t>Technical Recruiting Intern - AI &amp; Automation</t>
  </si>
  <si>
    <t>Apply →  job-boards.greenhouse.io/eulerity/jobs/4693128006</t>
  </si>
  <si>
    <t>Recruiting-focused, not engineering</t>
  </si>
  <si>
    <t>Exowatt</t>
  </si>
  <si>
    <t>Software Engineering Intern - Inventory Automation &amp; IoT/Robotics</t>
  </si>
  <si>
    <t>Apply →  applyguy.ai/jobs?company=Exowatt&amp;job=10df12e8-ae5c-4c57-88</t>
  </si>
  <si>
    <t>Experian</t>
  </si>
  <si>
    <t>ML Engineer Intern</t>
  </si>
  <si>
    <t>Apply →  jobs.smartrecruiters.com/Experian/744000121254203</t>
  </si>
  <si>
    <t>FocusKPI</t>
  </si>
  <si>
    <t>AI Business Operations Intern - Remote - Paid</t>
  </si>
  <si>
    <t>Apply →  focuskpi.applytojob.com/apply/udj57Jky8L/AI-Business-Opera</t>
  </si>
  <si>
    <t>2026-05-17</t>
  </si>
  <si>
    <t>Fullsteam</t>
  </si>
  <si>
    <t>Data Science - Machine Learning &amp; AI Intern</t>
  </si>
  <si>
    <t>Apply →  fullsteam.wd1.myworkdayjobs.com/external/job/Remote---US/D</t>
  </si>
  <si>
    <t>GlobalFoundries</t>
  </si>
  <si>
    <t>Robotics and Automation Engineering Intern</t>
  </si>
  <si>
    <t>Essex Junction, VT</t>
  </si>
  <si>
    <t>Apply →  gf.wd1.myworkdayjobs.com/External/job/Essex-Junction/Robot</t>
  </si>
  <si>
    <t>Fab automation/robotics</t>
  </si>
  <si>
    <t>ML &amp; Cloud Infrastructure Engineer Intern</t>
  </si>
  <si>
    <t>Apply →  jobs.ashbyhq.com/gritt/46af6e69-40fc-4e53-940e-a9975713752</t>
  </si>
  <si>
    <t>Robotics ML; CV-relevant</t>
  </si>
  <si>
    <t>Institute for Foundation Models</t>
  </si>
  <si>
    <t>AI Research Internship - World Models</t>
  </si>
  <si>
    <t>Apply →  jobs.lever.co/ifm-us/3eec355c-6dde-4a3e-8cdf-b2a8930d5678/</t>
  </si>
  <si>
    <t>World models research; CV-relevant</t>
  </si>
  <si>
    <t>Institute of Foundation Models</t>
  </si>
  <si>
    <t>Apply →  jobs.lever.co/ifm-us/3eec355c-6dde-4a3e-8cdf-b2a8930d5678</t>
  </si>
  <si>
    <t>2026-06-14</t>
  </si>
  <si>
    <t>CV-relevant: world models</t>
  </si>
  <si>
    <t>IPConfigure</t>
  </si>
  <si>
    <t>Software Technical Support Engineer Intern</t>
  </si>
  <si>
    <t>Norfolk, VA</t>
  </si>
  <si>
    <t>Apply →  applyguy.ai/jobs?company=IPConfigure&amp;job=1a43aad7-4eee-45c</t>
  </si>
  <si>
    <t>Video surveillance/CV company</t>
  </si>
  <si>
    <t>KBR</t>
  </si>
  <si>
    <t>Intern - Distributed Spacecraft Autonomy</t>
  </si>
  <si>
    <t>Apply →  kbr.wd5.myworkdayjobs.com/en-US/kbr_careers/job/Mountain-V</t>
  </si>
  <si>
    <t>Gov contractor; verify US-person rule</t>
  </si>
  <si>
    <t>Neuralink</t>
  </si>
  <si>
    <t>Manufacturing Intern, Surgery &amp; Robotics</t>
  </si>
  <si>
    <t>Apply →  boards.greenhouse.io/neuralink/jobs/7666761003?gh_jid=7666</t>
  </si>
  <si>
    <t>zapply visa col: blank; age 4mo</t>
  </si>
  <si>
    <t>Nissan</t>
  </si>
  <si>
    <t>Autonomous Driving Applications Research Intern</t>
  </si>
  <si>
    <t>Apply →  alliance.wd3.myworkdayjobs.com/nissanjobs/job/Santa-Clara-</t>
  </si>
  <si>
    <t>NREL</t>
  </si>
  <si>
    <t>Undergraduate/Graduate Intern - Software and Data Infrastructure for Autonomous Thin Film Experimentation</t>
  </si>
  <si>
    <t>Apply →  applyguy.ai/jobs?company=NREL&amp;job=a4be3c89-d9d1-4baa-b118-</t>
  </si>
  <si>
    <t>National lab; year-round; grad students eligible</t>
  </si>
  <si>
    <t>Outmarket AI</t>
  </si>
  <si>
    <t>Apply →  jobs.ashbyhq.com/outmarket/8d192421-2422-42f5-854f-6a0765a</t>
  </si>
  <si>
    <t>Output Biosciences</t>
  </si>
  <si>
    <t>Research Intern, Machine Learning</t>
  </si>
  <si>
    <t>Apply →  jobs.ashbyhq.com/output/da2723ca-a418-49f1-b7da-a4f383dd82</t>
  </si>
  <si>
    <t>PhD-level</t>
  </si>
  <si>
    <t>Autonomy Software Engineering Internship</t>
  </si>
  <si>
    <t>Apply →  applyguy.ai/jobs?company=Persona+AI+Inc&amp;job=7b94fd17-6dff-</t>
  </si>
  <si>
    <t>Humanoid robotics autonomy - CV match</t>
  </si>
  <si>
    <t>Robotics Data Pipeline Intern</t>
  </si>
  <si>
    <t>Pensacola, FL; Houston, TX</t>
  </si>
  <si>
    <t>Apply →  jobs.ashbyhq.com/persona.ai/c7981f54-698b-4617-a72a-ff251f</t>
  </si>
  <si>
    <t>Robotics data - CV relevant</t>
  </si>
  <si>
    <t>Teleoperation Software Engineering Internship</t>
  </si>
  <si>
    <t>Pensacola, FL</t>
  </si>
  <si>
    <t>Apply →  applyguy.ai/jobs?company=Persona+AI+Inc&amp;job=51333dbd-0e64-</t>
  </si>
  <si>
    <t>Robot teleoperation</t>
  </si>
  <si>
    <t>Phil</t>
  </si>
  <si>
    <t>Apply →  jobs.ashbyhq.com/phil/4626509e-297e-4a03-b5b1-7d72cbbc5b82</t>
  </si>
  <si>
    <t>Apply →  jobs.lever.co/plus-2/5d71c173-fef1-409f-b3f0-750e3b828266</t>
  </si>
  <si>
    <t>Autonomous driving</t>
  </si>
  <si>
    <t>Machine Learning Engineer Intern - Planning</t>
  </si>
  <si>
    <t>Apply →  jobs.lever.co/plus-2/91a07eb1-2244-48bf-a65b-dc166a327ddc</t>
  </si>
  <si>
    <t>Autonomous driving planning</t>
  </si>
  <si>
    <t>Machine Learning Engineer Intern - Scenario Simulation</t>
  </si>
  <si>
    <t>Apply →  jobs.lever.co/plus-2/b4f750e7-0148-41f0-b2b1-ff054450a320</t>
  </si>
  <si>
    <t>Autonomous driving simulation</t>
  </si>
  <si>
    <t>Deep Learning Research Intern</t>
  </si>
  <si>
    <t>Apply →  jobs.lever.co/plus-2/2f2c1cd9-f099-483a-9717-0da83a391333</t>
  </si>
  <si>
    <t>Machine Learning Engineer Intern, Scenario Generation</t>
  </si>
  <si>
    <t>Apply →  jobs.lever.co/plus-2/1432ed29-d5e2-4348-acc4-9c42bf0897e2</t>
  </si>
  <si>
    <t>Simulation/scenario gen; CV-relevant</t>
  </si>
  <si>
    <t>Reinforcement Learning Planning Research Intern</t>
  </si>
  <si>
    <t>Apply →  jobs.lever.co/plus-2/7565aed4-41b0-44e9-8608-3ccd07e18262</t>
  </si>
  <si>
    <t>RL planning; autonomous driving</t>
  </si>
  <si>
    <t>Research Intern, Deep Learning</t>
  </si>
  <si>
    <t>Apply →  apply.workable.com/pony-dot-ai/j/4C1F53EF5D/</t>
  </si>
  <si>
    <t>Autonomous driving; CV-relevant</t>
  </si>
  <si>
    <t>Robert Bosch</t>
  </si>
  <si>
    <t>Software Engineer Intern - Autonomous Driving</t>
  </si>
  <si>
    <t>Apply →  jobs.smartrecruiters.com/BoschGroup/744000139649345</t>
  </si>
  <si>
    <t>CV-relevant: autonomous driving</t>
  </si>
  <si>
    <t>Teledyne FLIR</t>
  </si>
  <si>
    <t>Computer Engineering Intern</t>
  </si>
  <si>
    <t>Lincoln, NE</t>
  </si>
  <si>
    <t>Apply →  flir.wd1.myworkdayjobs.com/flircareers/job/US---Lincoln-NE</t>
  </si>
  <si>
    <t>Thermal imaging; CV-adjacent</t>
  </si>
  <si>
    <t>Game Research &amp; Development Intern - Engine Research</t>
  </si>
  <si>
    <t>Apply →  simplify.jobs/p/f975268a-bc73-4167-8e73-024443cbc1f2</t>
  </si>
  <si>
    <t>Graphics/engine - CV-adjacent</t>
  </si>
  <si>
    <t>Trellix</t>
  </si>
  <si>
    <t>Business Operations &amp; AI Data Analyst Intern</t>
  </si>
  <si>
    <t>Apply →  trellix.wd1.myworkdayjobs.com/en-US/EnterpriseCareers/job/</t>
  </si>
  <si>
    <t>Unisys</t>
  </si>
  <si>
    <t>Digital Marketing &amp; AI Intern - Remote</t>
  </si>
  <si>
    <t>Apply →  unisys.wd5.myworkdayjobs.com/External/job/Blue-Bell-PA-Uni</t>
  </si>
  <si>
    <t>Unity Technologies</t>
  </si>
  <si>
    <t>ML Infrastructure Engineer (Early Career)</t>
  </si>
  <si>
    <t>Apply →  unity.com/careers/positions/7947295?gh_jid=7947295</t>
  </si>
  <si>
    <t>Early career; repo marks company as sponsor</t>
  </si>
  <si>
    <t>Backend Software Engineering Intern - Fall 2026</t>
  </si>
  <si>
    <t>Apply →  job-boards.greenhouse.io/verkada/jobs/5099422007</t>
  </si>
  <si>
    <t>Xaira Therapeutics</t>
  </si>
  <si>
    <t>Lab Automation - Vision AI Engineer Intern</t>
  </si>
  <si>
    <t>Apply →  job-boards.greenhouse.io/xairatherapeutics/jobs/5170708007</t>
  </si>
  <si>
    <t>Vision AI - strong CV match</t>
  </si>
  <si>
    <t>XPENG</t>
  </si>
  <si>
    <t>AI Infra Onboard Performance Intern</t>
  </si>
  <si>
    <t>Apply →  job-boards.greenhouse.io/xpengmotors/jobs/8581353002</t>
  </si>
  <si>
    <t>Yotta Labs</t>
  </si>
  <si>
    <t>Research Engineer Intern - AI Systems</t>
  </si>
  <si>
    <t>Apply →  jobs.ashbyhq.com/yotta/09821a51-fbe6-42a7-a566-0d2b5d40fae</t>
  </si>
  <si>
    <t>40</t>
  </si>
  <si>
    <t>AbbVie</t>
  </si>
  <si>
    <t>2027 Business Technology Solutions Intern</t>
  </si>
  <si>
    <t>North Chicago, IL</t>
  </si>
  <si>
    <t>Apply →  jobs.smartrecruiters.com/AbbVie/3743990014410464</t>
  </si>
  <si>
    <t>BTS = tech org at AbbVie</t>
  </si>
  <si>
    <t>Python Software Engineer Intern</t>
  </si>
  <si>
    <t>Apply →  akunacapital.com/careers/job/8018853/</t>
  </si>
  <si>
    <t>Software Engineer Intern (C++)</t>
  </si>
  <si>
    <t>Apply →  akunacapital.com/careers/job/8018847/?gh_jid=8018847</t>
  </si>
  <si>
    <t>Software Engineer Intern - Python / C++ / Full Stack / C# .NET</t>
  </si>
  <si>
    <t>Apply →  akunacapital.com/careers/job/8018847/</t>
  </si>
  <si>
    <t>Software Engineer Intern, C# .NET Desktop</t>
  </si>
  <si>
    <t>Apply →  akunacapital.com/careers/job/8018886/?gh_jid=8018886</t>
  </si>
  <si>
    <t>Product Development Internship Program</t>
  </si>
  <si>
    <t>McLean, VA; Plano, TX</t>
  </si>
  <si>
    <t>Apply →  capitalonecareers.com/job/-/-/234/97421687312</t>
  </si>
  <si>
    <t>Technology Intern</t>
  </si>
  <si>
    <t>Plano, TX; McLean, VA; Richmond, VA</t>
  </si>
  <si>
    <t>Engineering Intern - Product Development Track</t>
  </si>
  <si>
    <t>Mossville, IL; West Chester, PA; Peoria, IL (+31)</t>
  </si>
  <si>
    <t>Apply →  cat.wd5.myworkdayjobs.com/CaterpillarCareers/job/Mossville</t>
  </si>
  <si>
    <t>Epic Systems</t>
  </si>
  <si>
    <t>Verona, WI</t>
  </si>
  <si>
    <t>Apply →  careers.epic.com/jobs/intern/</t>
  </si>
  <si>
    <t>Generic intern landing page</t>
  </si>
  <si>
    <t>Software Engineer Intern - Summer 2027</t>
  </si>
  <si>
    <t>Apply →  job-boards.eu.greenhouse.io/imc/jobs/4823924101</t>
  </si>
  <si>
    <t>2027 Code for Good Hackathon - Software Engineering</t>
  </si>
  <si>
    <t>Software Engineer Intern - Software Engineer Program</t>
  </si>
  <si>
    <t>Multiple US locations</t>
  </si>
  <si>
    <t>Campus Systems Engineer Intern</t>
  </si>
  <si>
    <t>Apply →  jumptrading.com/hr/job?gh_jid=8007788</t>
  </si>
  <si>
    <t>Apply →  jumptrading.com/hr/job?gh_jid=8002989</t>
  </si>
  <si>
    <t>Medtronic</t>
  </si>
  <si>
    <t>Engineering Intern - Summer 2027</t>
  </si>
  <si>
    <t>Fridley, MN</t>
  </si>
  <si>
    <t>Apply →  medtronic.wd1.myworkdayjobs.com/MedtronicCareers/job/Fridl</t>
  </si>
  <si>
    <t>21 locations listed</t>
  </si>
  <si>
    <t>Boston, MA; Santa Ana, CA; Fridley, MN; Santa Rosa, CA; Irvine, CA; Mansfield, MA; Mounds View, MN; Tempe, AZ; Memphis, TN; Plymouth, MN; Fort Worth, TX; North Haven, CT; Lafayette, CO; Minneapolis, MN; Newton, MA; Jacksonville, FL; Boulder, CO</t>
  </si>
  <si>
    <t>Apply →  medtronic.wd1.myworkdayjobs.com/redeploymentmedtroniccaree</t>
  </si>
  <si>
    <t>Fridley, MN (+20 locations)</t>
  </si>
  <si>
    <t>Apply →  medtronic.wd1.myworkdayjobs.com/en-US/medtroniccareers/job</t>
  </si>
  <si>
    <t>21 US locations</t>
  </si>
  <si>
    <t>$55K-94K; medical devices</t>
  </si>
  <si>
    <t>FutureFocus Tech, Fasttrack for Software Engineering Intern 2027</t>
  </si>
  <si>
    <t>Apply →  optiver.com/working-at-optiver/career-opportunities/828620</t>
  </si>
  <si>
    <t>Apply →  optiver.com/join-us/jobs/8401052002/?gh_jid=8401052002</t>
  </si>
  <si>
    <t>Software Engineer Intern - Summer 2027 - Chicago</t>
  </si>
  <si>
    <t>Apply →  optiver.com/join-us/jobs/8604760002/?gh_jid=8604760002</t>
  </si>
  <si>
    <t>$125/hr</t>
  </si>
  <si>
    <t>Roblox</t>
  </si>
  <si>
    <t>Apply →  simplify.jobs/p/f89dbf35-2e68-4087-a28a-1092da1e72d4/Softw</t>
  </si>
  <si>
    <t>$62/hr per Simplify</t>
  </si>
  <si>
    <t>Summer 2027 Intern - Software Engineer</t>
  </si>
  <si>
    <t>Apply →  builtinboston.com/job/summer-2027-intern-software-engineer</t>
  </si>
  <si>
    <t>Futureforce program</t>
  </si>
  <si>
    <t>Apply →  twosigma.avature.net/careers/JobDetail/13945</t>
  </si>
  <si>
    <t>Uber</t>
  </si>
  <si>
    <t>Software Engineering Intern - Uber Career Prep</t>
  </si>
  <si>
    <t>San Francisco, CA; Seattle, WA; Sunnyvale, CA</t>
  </si>
  <si>
    <t>Apply →  jobs.uber.com/en/jobs/300697/</t>
  </si>
  <si>
    <t>Frontend Software Engineer Intern</t>
  </si>
  <si>
    <t>Apply →  job-boards.greenhouse.io/verkada/jobs/5099529007</t>
  </si>
  <si>
    <t>2027 Internship - Software Engineer</t>
  </si>
  <si>
    <t>Apply →  applyguy.ai/jobs?company=Virtu+Financial&amp;job=6ad42080-e3f8</t>
  </si>
  <si>
    <t>Fremont, CA; Rochester, MN; San Jose, CA; Irvine, CA; Colorado Springs, CO; Longmont, CO</t>
  </si>
  <si>
    <t>Apply →  jobs.smartrecruiters.com/WesternDigital/744000138727213</t>
  </si>
  <si>
    <t>Apply →  jobs.smartrecruiters.com/WesternDigital/744000138727213-su</t>
  </si>
  <si>
    <t>Summer 2027 - Software Engineering Internship</t>
  </si>
  <si>
    <t>Apply →  builtinsf.com/job/summer-2027-software-engineering-interns</t>
  </si>
  <si>
    <t>39</t>
  </si>
  <si>
    <t>Architect Labs</t>
  </si>
  <si>
    <t>Member of Technical Staff Research Intern</t>
  </si>
  <si>
    <t>Apply →  jobs.ashbyhq.com/architect/1999377b-b23b-461f-b79a-d4edce0</t>
  </si>
  <si>
    <t>Axogen</t>
  </si>
  <si>
    <t>Intern, AI/ML Engineer (Fall 2026)</t>
  </si>
  <si>
    <t>Tampa, FL</t>
  </si>
  <si>
    <t>Apply →  applyguy.ai/jobs?company=Axogen&amp;job=dce006db-2f24-410a-9c1</t>
  </si>
  <si>
    <t>Brio Water Technology</t>
  </si>
  <si>
    <t>AI Automation &amp; Business Analytics Intern - Rotational Program</t>
  </si>
  <si>
    <t>Glendale, CA</t>
  </si>
  <si>
    <t>Apply →  ats.rippling.com/briowt/jobs/52da1fca-1cb1-49ff-8a94-b6f38</t>
  </si>
  <si>
    <t>CACI</t>
  </si>
  <si>
    <t>AI/ML Engineering Co-op - Fall 2026</t>
  </si>
  <si>
    <t>King of Prussia, PA</t>
  </si>
  <si>
    <t>Apply →  caci.wd1.myworkdayjobs.com/en-US/external/job/King-of-Prus</t>
  </si>
  <si>
    <t>Defense contractor - verify clearance rules</t>
  </si>
  <si>
    <t>Fall 2026 Co-Op AI Business Analytics Intern</t>
  </si>
  <si>
    <t>Apply →  jobs.eu.lever.co/cirrus/f85c944c-d437-4685-9f04-c7b79ae65e</t>
  </si>
  <si>
    <t>Semiconductor company</t>
  </si>
  <si>
    <t>Customer Experience Product Management Specialist 1 Intern</t>
  </si>
  <si>
    <t>San Jose, CA; Research Triangle Park, NC (+4)</t>
  </si>
  <si>
    <t>City of Charlotte</t>
  </si>
  <si>
    <t>Utility AI Interaction Designer Co-Op II</t>
  </si>
  <si>
    <t>Charlotte, NC</t>
  </si>
  <si>
    <t>Apply →  charlottenc.wd12.myworkdayjobs.com/citgov/job/CLTW-Brooksh</t>
  </si>
  <si>
    <t>Technical Marketing Intern - Fall 2026</t>
  </si>
  <si>
    <t>Apply →  simplify.jobs/p/b4a0c957-af54-480d-8abb-118638a37976</t>
  </si>
  <si>
    <t>$27/hr; open now for Fall 2026</t>
  </si>
  <si>
    <t>Constellation Space</t>
  </si>
  <si>
    <t>Graduate Researcher Intern - Machine Learning</t>
  </si>
  <si>
    <t>Apply →  jobs.ashbyhq.com/constellationspace/b763d4ba-7b77-479b-89a</t>
  </si>
  <si>
    <t>Graduate-level ML research</t>
  </si>
  <si>
    <t>DimeHealth AI</t>
  </si>
  <si>
    <t>Forward Deployed Engineering Intern</t>
  </si>
  <si>
    <t>Apply →  workatastartup.com/jobs/94211</t>
  </si>
  <si>
    <t>Ellipsis Labs</t>
  </si>
  <si>
    <t>Apply →  jobs.ashbyhq.com/ellipsislabs/02136b22-35b1-4b3d-8bef-567c</t>
  </si>
  <si>
    <t>Electrical Platform Intern - Spring 2027</t>
  </si>
  <si>
    <t>Apply →  jobs.ashbyhq.com/etched/8c1e7aab-3c6d-49a3-8176-d9158acb18</t>
  </si>
  <si>
    <t>AI chip startup; location unverified</t>
  </si>
  <si>
    <t>Performance Tools Intern</t>
  </si>
  <si>
    <t>Apply →  jobs.ashbyhq.com/Etched/f02e8035-7dc9-4b0c-aab7-75bbb4e975</t>
  </si>
  <si>
    <t>AI inference chip startup</t>
  </si>
  <si>
    <t>Five Rings</t>
  </si>
  <si>
    <t>Apply →  job-boards.greenhouse.io/fiveringsllc/jobs/5349707008</t>
  </si>
  <si>
    <t>AI Software Intern (Fall 2026)</t>
  </si>
  <si>
    <t>Apply →  applyguy.ai/jobs?company=Formlabs&amp;job=cfed89c4-2caf-45f2-b</t>
  </si>
  <si>
    <t>GE Vernova</t>
  </si>
  <si>
    <t>Digital Technology Intern</t>
  </si>
  <si>
    <t>Greenville, SC; Schenectady, NY; Atlanta, GA</t>
  </si>
  <si>
    <t>Apply →  gevernova.wd5.myworkdayjobs.com/only_confidential_executiv</t>
  </si>
  <si>
    <t>GenMD</t>
  </si>
  <si>
    <t>AI Research Scientist Intern</t>
  </si>
  <si>
    <t>Apply →  jobs.ashbyhq.com/genmd/807adafc-7842-4e05-90f3-9bc45dd39a1</t>
  </si>
  <si>
    <t>GSK</t>
  </si>
  <si>
    <t>Fall Co-op - AI Portfolio</t>
  </si>
  <si>
    <t>Durham, NC</t>
  </si>
  <si>
    <t>Apply →  gsk-us-earlytalent.icims.com/jobs/10503/fall-co-op-ai-port</t>
  </si>
  <si>
    <t>Via Atrium early talent</t>
  </si>
  <si>
    <t>Imerys</t>
  </si>
  <si>
    <t>S&amp;T Data Consolidation &amp; AI Analysis - Intern</t>
  </si>
  <si>
    <t>Johns Creek, GA</t>
  </si>
  <si>
    <t>Apply →  imerys.wd3.myworkdayjobs.com/en-US/imerys-careers/job/John</t>
  </si>
  <si>
    <t>Lennox International</t>
  </si>
  <si>
    <t>AI Engineering Fall Co-Op</t>
  </si>
  <si>
    <t>Richardson, TX</t>
  </si>
  <si>
    <t>Apply →  uscareers-lennox.icims.com/jobs/54120/ai-engineering-fall-</t>
  </si>
  <si>
    <t>$47K-52K</t>
  </si>
  <si>
    <t>LiveRamp</t>
  </si>
  <si>
    <t>Intern - Software Engineer, Pixel Serving</t>
  </si>
  <si>
    <t>Apply →  liveramp.wd5.myworkdayjobs.com/LiveRampCareers/job/New-Yor</t>
  </si>
  <si>
    <t>Marshall Wace</t>
  </si>
  <si>
    <t>Apply →  job-boards.greenhouse.io/mwinternshipprogram/jobs/86062380</t>
  </si>
  <si>
    <t>Melius</t>
  </si>
  <si>
    <t>Apply →  jobs.ashbyhq.com/melius/b61f063a-4f94-4e50-a4ef-05aaab5522</t>
  </si>
  <si>
    <t>NPR</t>
  </si>
  <si>
    <t>AI Research, Ethics and Readiness Internship - Fall 2026</t>
  </si>
  <si>
    <t>Apply →  job-boards.greenhouse.io/nationalpublicradioinc/jobs/47019</t>
  </si>
  <si>
    <t>NTT DATA AIVista</t>
  </si>
  <si>
    <t>AI Scientist Intern</t>
  </si>
  <si>
    <t>Palo Alto, CA; San Francisco, CA</t>
  </si>
  <si>
    <t>Apply →  jobs.ashbyhq.com/ntt-data-aivista/75f9f312-1cf9-4141-b352-</t>
  </si>
  <si>
    <t>NXP Semiconductors</t>
  </si>
  <si>
    <t>AI / Software Engineering Intern - Fall 2026</t>
  </si>
  <si>
    <t>Apply →  applyguy.ai/jobs?company=NXP+Semiconductors&amp;job=d22059a4-a</t>
  </si>
  <si>
    <t>Edge AI</t>
  </si>
  <si>
    <t>Oligo Space</t>
  </si>
  <si>
    <t>ML/AI/CS Intern</t>
  </si>
  <si>
    <t>West Athens, CA</t>
  </si>
  <si>
    <t>Apply →  jobs.ashbyhq.com/oligo/107f5148-84bd-43ba-a49d-ac8928898ca</t>
  </si>
  <si>
    <t>onsemi</t>
  </si>
  <si>
    <t>AI &amp; Data Analytics Intern</t>
  </si>
  <si>
    <t>Scottsdale, AZ</t>
  </si>
  <si>
    <t>Apply →  hctz.fa.us2.oraclecloud.com/hcmUI/CandidateExperience/en/s</t>
  </si>
  <si>
    <t>Apply →  jobs.lever.co/palantir/7d69cf8a-06fd-4f05-bd84-27149db29c4</t>
  </si>
  <si>
    <t>Software Engineer Intern, Infrastructure</t>
  </si>
  <si>
    <t>PDT Partners</t>
  </si>
  <si>
    <t>Apply →  job-boards.greenhouse.io/pdtpartners/jobs/8077685</t>
  </si>
  <si>
    <t>2026-07-25</t>
  </si>
  <si>
    <t>Pennsylvania State University</t>
  </si>
  <si>
    <t>Research Engineering Intern</t>
  </si>
  <si>
    <t>State College, PA</t>
  </si>
  <si>
    <t>Apply →  psu.wd1.myworkdayjobs.com/PSU_Staff/job/Penn-State-Univers</t>
  </si>
  <si>
    <t>Phonic</t>
  </si>
  <si>
    <t>Machine Learning Research Intern - Fall 2026</t>
  </si>
  <si>
    <t>Apply →  jobs.ashbyhq.com/phonic/a6c8c3d2-250a-4c2f-8a20-e4667ca38e</t>
  </si>
  <si>
    <t>Quadrillion</t>
  </si>
  <si>
    <t>Apply →  jobs.ashbyhq.com/quadrillion-labs/a4acc44c-31ce-41a0-ab44-</t>
  </si>
  <si>
    <t>Raytheon</t>
  </si>
  <si>
    <t>Fall 2026 - Intern/Coop: Machine Learning Researcher</t>
  </si>
  <si>
    <t>East Hartford, CT</t>
  </si>
  <si>
    <t>Apply →  globalhr.wd5.myworkdayjobs.com/en-US/rec_rtx_ext_gateway/j</t>
  </si>
  <si>
    <t>RTX defense; verify US-person rule</t>
  </si>
  <si>
    <t>Fall 2026 Intern/Co-op: Machine Learning Researcher</t>
  </si>
  <si>
    <t>Apply →  applyguy.ai/jobs?company=RTX&amp;job=5d697427-9a27-4906-97fb-8</t>
  </si>
  <si>
    <t>Defense - likely US person required</t>
  </si>
  <si>
    <t>Machine Learning Researcher Intern/Co-op (Fall 2026)</t>
  </si>
  <si>
    <t>Hartford, CT</t>
  </si>
  <si>
    <t>Apply →  globalhr.wd5.myworkdayjobs.com/rec_rtx_ext_gateway/job/US-</t>
  </si>
  <si>
    <t>Defense contractor; verify citizenship rules</t>
  </si>
  <si>
    <t>2026 Intern, Memory and Personalization (Fall)</t>
  </si>
  <si>
    <t>Saronic Technologies</t>
  </si>
  <si>
    <t>Enterprise Technology Intern - AI and Automation - Fall 2026</t>
  </si>
  <si>
    <t>2026-07-04</t>
  </si>
  <si>
    <t>Defense marine; verify US-person rule</t>
  </si>
  <si>
    <t>StackAdapt</t>
  </si>
  <si>
    <t>Machine Learning Engineer Intern - Fall 2026</t>
  </si>
  <si>
    <t>Apply →  job-boards.greenhouse.io/stackadapt-confidential/jobs/4236</t>
  </si>
  <si>
    <t>Location unverified (StackAdapt is Toronto-HQ, hires US too)</t>
  </si>
  <si>
    <t>Texas Instruments</t>
  </si>
  <si>
    <t>Product Operations Analyst Intern</t>
  </si>
  <si>
    <t>Dallas, TX</t>
  </si>
  <si>
    <t>Apply →  edbz.fa.us2.oraclecloud.com/hcmUI/CandidateExperience/en/s</t>
  </si>
  <si>
    <t>Veeda AI</t>
  </si>
  <si>
    <t>Apply →  jobs.ashbyhq.com/veeda-labs/58cc42fb-1d6f-4e5f-860d-3b97bd</t>
  </si>
  <si>
    <t>AI-First Engineering Intern</t>
  </si>
  <si>
    <t>Apply →  jobs.lever.co/xsolla/5d5fd6b3-d82f-437a-b251-abf4674ac874</t>
  </si>
  <si>
    <t>Apply →  jobs.lever.co/xsolla/1c0e5375-2352-4a2c-a816-48ddebbdd3d6</t>
  </si>
  <si>
    <t>38</t>
  </si>
  <si>
    <t>Agilent</t>
  </si>
  <si>
    <t>Intern - R&amp;D Software Engineering - AI &amp; Test Automation</t>
  </si>
  <si>
    <t>Apply →  agilent.wd5.myworkdayjobs.com/en-US/agilent_student_career</t>
  </si>
  <si>
    <t>Agilent Technologies</t>
  </si>
  <si>
    <t>Intern - R&amp;D Software Engineering (AI / Test Automation)</t>
  </si>
  <si>
    <t>Apply →  agilent.wd5.myworkdayjobs.com/Agilent_Student_Careers/job/</t>
  </si>
  <si>
    <t>Arkansas Center for Data Sciences</t>
  </si>
  <si>
    <t>Software Development Intern - Align AI</t>
  </si>
  <si>
    <t>Bentonville, AR</t>
  </si>
  <si>
    <t>Apply →  jobs.lever.co/acds/079308f9-11b0-4ca0-93a8-c6fb6ed70a23/ap</t>
  </si>
  <si>
    <t>Assurant</t>
  </si>
  <si>
    <t>Digital &amp; AI Transformation Intern</t>
  </si>
  <si>
    <t>Atlanta, GA</t>
  </si>
  <si>
    <t>Apply →  assurant.wd1.myworkdayjobs.com/en-US/Assurant_Careers/job/</t>
  </si>
  <si>
    <t>Black Box</t>
  </si>
  <si>
    <t>Plano, TX</t>
  </si>
  <si>
    <t>Apply →  eoje.fa.us2.oraclecloud.com/hcmUI/CandidateExperience/en/s</t>
  </si>
  <si>
    <t>CALSTART</t>
  </si>
  <si>
    <t>Zero-Emission Data &amp; Research Intern</t>
  </si>
  <si>
    <t>Apply →  jobs.lever.co/calstart/faf839b1-8c62-4fcf-991c-71750d8fc90</t>
  </si>
  <si>
    <t>Campbell Soup</t>
  </si>
  <si>
    <t>Data Engineer - Agentic AI &amp; ML Ops - Co-op</t>
  </si>
  <si>
    <t>Camden, NJ</t>
  </si>
  <si>
    <t>Apply →  campbellsoup.wd5.myworkdayjobs.com/en-US/externalcareers_g</t>
  </si>
  <si>
    <t>agentic AI / MLOps</t>
  </si>
  <si>
    <t>Data Engineer - DA&amp;AI Co-Op</t>
  </si>
  <si>
    <t>CareSource</t>
  </si>
  <si>
    <t>CareSource AI Intern</t>
  </si>
  <si>
    <t>Dayton, OH (+88)</t>
  </si>
  <si>
    <t>Apply →  caresource.wd1.myworkdayjobs.com/caresource/job/Dayton-OH/</t>
  </si>
  <si>
    <t>d-Matrix</t>
  </si>
  <si>
    <t>Applied AI Engineering Intern</t>
  </si>
  <si>
    <t>Apply →  jobs.ashbyhq.com/d-matrix/93a6e6ee-3391-4437-8459-e28eb05e</t>
  </si>
  <si>
    <t>AI chip startup; repo marks sponsor</t>
  </si>
  <si>
    <t>Student Fellows Program</t>
  </si>
  <si>
    <t>Apply →  databricks.com/university/student-fellows</t>
  </si>
  <si>
    <t>Check site for open cycle</t>
  </si>
  <si>
    <t>Dedalus Labs</t>
  </si>
  <si>
    <t>Systems Engineer / Product Manager Intern</t>
  </si>
  <si>
    <t>Apply →  ycombinator.com/companies/dedalus-labs/jobs/YtbvXM8-system</t>
  </si>
  <si>
    <t>Fortinet</t>
  </si>
  <si>
    <t>Apply →  edel.fa.us2.oraclecloud.com/hcmUI/CandidateExperience/en/s</t>
  </si>
  <si>
    <t>Fortive</t>
  </si>
  <si>
    <t>AI / Software Engineering Intern</t>
  </si>
  <si>
    <t>Boston, MA; Seattle, WA (+9)</t>
  </si>
  <si>
    <t>Apply →  ejta.fa.us6.oraclecloud.com/hcmUI/CandidateExperience/en/s</t>
  </si>
  <si>
    <t>GenBio AI</t>
  </si>
  <si>
    <t>Apply →  jobs.lever.co/genbio/4bdb14ae-e19f-40c8-84db-1307dbdabe74/</t>
  </si>
  <si>
    <t>AI-for-biology research lab</t>
  </si>
  <si>
    <t>Human Computer Lab</t>
  </si>
  <si>
    <t>Intern - Software/ML Engineering</t>
  </si>
  <si>
    <t>Apply →  jobs.ashbyhq.com/human-computer-lab/7d13ae27-1f02-4d9b-8d3</t>
  </si>
  <si>
    <t>kos.ai</t>
  </si>
  <si>
    <t>Apply →  jobs.ashbyhq.com/kos.ai/efab6ffb-9658-47f7-8b5f-a295c55957</t>
  </si>
  <si>
    <t>Lila Sciences</t>
  </si>
  <si>
    <t>Co-Op, Lab IT/OT Security Engineer</t>
  </si>
  <si>
    <t>Apply →  job-boards.greenhouse.io/lilasciences/jobs/4279721009</t>
  </si>
  <si>
    <t>AI-for-science startup; repo marks sponsor</t>
  </si>
  <si>
    <t>LivaNova</t>
  </si>
  <si>
    <t>Systems Engineering &amp; AI Workflows Intern</t>
  </si>
  <si>
    <t>Apply →  livanova.wd5.myworkdayjobs.com/search/job/Houston-Texas-Un</t>
  </si>
  <si>
    <t>Apply →  boards.greenhouse.io/neuralink/jobs/6594261003?gh_jid=6594</t>
  </si>
  <si>
    <t>Older posting; active visa sponsor</t>
  </si>
  <si>
    <t>OBE</t>
  </si>
  <si>
    <t>AI Intern - Data, Analytics &amp; AI</t>
  </si>
  <si>
    <t>Apply →  job-boards.greenhouse.io/oldcastlebuildingenvelope/jobs/42</t>
  </si>
  <si>
    <t>Onto Innovation</t>
  </si>
  <si>
    <t>AI/ML Internship</t>
  </si>
  <si>
    <t>Apply →  onto.wd1.myworkdayjobs.com/onto_careers/job/Hillsboro-OR/C</t>
  </si>
  <si>
    <t>Semiconductor metrology; H-1B sponsor</t>
  </si>
  <si>
    <t>Pebl</t>
  </si>
  <si>
    <t>Software Engineer Intern - Conversational AI (Alfie)</t>
  </si>
  <si>
    <t>Apply →  jobs.ashbyhq.com/pebl/dda67c17-87a7-477b-a0d4-a748fd75ae44</t>
  </si>
  <si>
    <t>conversational AI</t>
  </si>
  <si>
    <t>Relay</t>
  </si>
  <si>
    <t>Product &amp; Strategy Intern (Summer 2027)</t>
  </si>
  <si>
    <t>Apply →  job-boards.greenhouse.io/relaypro/jobs/8096572</t>
  </si>
  <si>
    <t>Data Engineering Intern - AI &amp; Analytics</t>
  </si>
  <si>
    <t>Ryan</t>
  </si>
  <si>
    <t>AI/ML Engineer Intern - Data Engineering</t>
  </si>
  <si>
    <t>Apply →  ryan.wd1.myworkdayjobs.com/Students-Graduates/job/Plano/AI</t>
  </si>
  <si>
    <t>SailPoint</t>
  </si>
  <si>
    <t>AI Data Engineer Intern</t>
  </si>
  <si>
    <t>Apply →  sailpoint.wd1.myworkdayjobs.com/en-US/SailPoint/job/Headqu</t>
  </si>
  <si>
    <t>Data Engineer Intern - Multiple Teams</t>
  </si>
  <si>
    <t>Apply →  tesla.com/careers/search/job/269828</t>
  </si>
  <si>
    <t>Data Science Operations Project Intern - Business Integrity</t>
  </si>
  <si>
    <t>Apply →  lifeattiktok.com/search/7639509050870434101</t>
  </si>
  <si>
    <t>2026-06-19</t>
  </si>
  <si>
    <t>Vestwell</t>
  </si>
  <si>
    <t>AI Engineer Intern - Tech</t>
  </si>
  <si>
    <t>King of Prussia, PA; Austin, TX (+2)</t>
  </si>
  <si>
    <t>Apply →  job-boards.greenhouse.io/vestwell/jobs/7722044003</t>
  </si>
  <si>
    <t>Viridien</t>
  </si>
  <si>
    <t>AI Full Stack Engineering Intern</t>
  </si>
  <si>
    <t>Apply →  cgg.wd103.myworkdayjobs.com/viridiencareers/job/Houston-Un</t>
  </si>
  <si>
    <t>Winland Foods</t>
  </si>
  <si>
    <t>Product Development Intern</t>
  </si>
  <si>
    <t>Oak Brook, IL</t>
  </si>
  <si>
    <t>Apply →  winlandfoods.wd1.myworkdayjobs.com/external/job/USA-IL-Oak</t>
  </si>
  <si>
    <t>Workato</t>
  </si>
  <si>
    <t>Intern, AI Engineering</t>
  </si>
  <si>
    <t>Apply →  workato.com/careers?gh_jid=8492935002#open-roles</t>
  </si>
  <si>
    <t>37</t>
  </si>
  <si>
    <t>Anthelion Capital</t>
  </si>
  <si>
    <t>Quant Developer / Quant Research Intern</t>
  </si>
  <si>
    <t>Apply →  jobs.ashbyhq.com/anthelioncap/5e2ea37b-2369-474e-b717-c24c</t>
  </si>
  <si>
    <t>2026/2027 cycle</t>
  </si>
  <si>
    <t>Ardian</t>
  </si>
  <si>
    <t>Apply →  ardian.wd103.myworkdayjobs.com/ArdianCareers/job/New-York/</t>
  </si>
  <si>
    <t>Astera Institute</t>
  </si>
  <si>
    <t>Software Engineering Intern - Distributed Simulation Systems</t>
  </si>
  <si>
    <t>Apply →  jobs.ashbyhq.com/astera/c2a48c1b-c4c4-4333-addf-313c47e260</t>
  </si>
  <si>
    <t>nonprofit research institute</t>
  </si>
  <si>
    <t>Agentic AI</t>
  </si>
  <si>
    <t>Business Analyst Co-op - DA&amp;AI</t>
  </si>
  <si>
    <t>Business Analyst (Co-op), Data Analytics &amp; AI</t>
  </si>
  <si>
    <t>Agentic AI Research Intern</t>
  </si>
  <si>
    <t>Apply →  careers-cotiviti.icims.com/jobs/19416/job?mobile=true&amp;need</t>
  </si>
  <si>
    <t>Cresta</t>
  </si>
  <si>
    <t>Data Science Intern (Customer Success)</t>
  </si>
  <si>
    <t>Apply →  job-boards.greenhouse.io/cresta/jobs/5213417008</t>
  </si>
  <si>
    <t>Remote US; conversational AI company</t>
  </si>
  <si>
    <t>Great Question</t>
  </si>
  <si>
    <t>Remote (US); San Francisco, CA</t>
  </si>
  <si>
    <t>Apply →  jobs.ashbyhq.com/greatquestion/c533196c-75d5-43b8-b1c8-ded</t>
  </si>
  <si>
    <t>Software Engineer Security &amp; Identity Intern</t>
  </si>
  <si>
    <t>Apply →  apply.careers.microsoft.com/careers/job/1970393556922930</t>
  </si>
  <si>
    <t>Nokia</t>
  </si>
  <si>
    <t>Architecture AI Co-op</t>
  </si>
  <si>
    <t>Apply →  fa-evmr-saasfaprod1.fa.ocs.oraclecloud.com/hcmUI/Candidate</t>
  </si>
  <si>
    <t>$42K-117K; Nokia Oracle ATS tenant</t>
  </si>
  <si>
    <t>Governance, Risk, and Compliance Intern (Fall 2026)</t>
  </si>
  <si>
    <t>Apply →  jobs.ashbyhq.com/notion/6ccbc30c-2de0-4395-af14-3641cd1596</t>
  </si>
  <si>
    <t>Point C</t>
  </si>
  <si>
    <t>Account Management AI Intern</t>
  </si>
  <si>
    <t>Apply →  job-boards.greenhouse.io/pointc/jobs/5282753008</t>
  </si>
  <si>
    <t>Data Science AI Intern</t>
  </si>
  <si>
    <t>Apply →  job-boards.greenhouse.io/pointc/jobs/5236086008</t>
  </si>
  <si>
    <t>Healthcare Informatics AI Intern</t>
  </si>
  <si>
    <t>Apply →  job-boards.greenhouse.io/pointc/jobs/5282758008</t>
  </si>
  <si>
    <t>Revance</t>
  </si>
  <si>
    <t>Apply →  revance.com/careers/job-listings/?gh_jid=8578708002</t>
  </si>
  <si>
    <t>Product Marketing Intern (Fall 2026)</t>
  </si>
  <si>
    <t>Apply →  jobs.ashbyhq.com/snowflake/3ac79875-b7bb-4078-b9c4-3bd5636</t>
  </si>
  <si>
    <t>Embedded Software Engineer Intern, Keys &amp; Authentication</t>
  </si>
  <si>
    <t>Apply →  tesla.com/careers/search/job/internship-embedded-software-</t>
  </si>
  <si>
    <t>Internship - Localization Specialist, IT Applications - Fall 2026</t>
  </si>
  <si>
    <t>Apply →  tesla.com/careers/search/job/internship-localization-speci</t>
  </si>
  <si>
    <t>36</t>
  </si>
  <si>
    <t>Apply →  akunacapital.com/careers/job/8021481/?gh_jid=8021481</t>
  </si>
  <si>
    <t>QD track</t>
  </si>
  <si>
    <t>Software Engineer Intern - C++, Summer 2027</t>
  </si>
  <si>
    <t>Apply →  applyguy.ai/jobs?company=Akuna+Capital&amp;job=cd03890d-6b23-4</t>
  </si>
  <si>
    <t>Quant trading firm</t>
  </si>
  <si>
    <t>Software Engineer Intern - Full Stack Web, Summer 2027</t>
  </si>
  <si>
    <t>Apply →  applyguy.ai/jobs?company=Akuna+Capital&amp;job=1778066f-8b6a-4</t>
  </si>
  <si>
    <t>Software Engineer Intern - Python, Summer 2027</t>
  </si>
  <si>
    <t>Apply →  applyguy.ai/jobs?company=Akuna+Capital&amp;job=3136c06b-556a-4</t>
  </si>
  <si>
    <t>Bank of America</t>
  </si>
  <si>
    <t>Quantitative Data Analyst Summer Analyst</t>
  </si>
  <si>
    <t>multiple US</t>
  </si>
  <si>
    <t>Apply →  careers.bankofamerica.com/en-us/students/job-detail/14420/</t>
  </si>
  <si>
    <t>Apply →  job-boards.eu.greenhouse.io/imc/jobs/4823923101</t>
  </si>
  <si>
    <t>Campus Quantitative Researcher Intern (UG/MS)</t>
  </si>
  <si>
    <t>Apply →  jumptrading.com/hr/job?gh_jid=7982648</t>
  </si>
  <si>
    <t>MS eligible; $138/hr</t>
  </si>
  <si>
    <t>Campus Software Engineer (Intern)</t>
  </si>
  <si>
    <t>Apply →  applyguy.ai/jobs?company=Jump+Trading&amp;job=1ba4bcac-a8de-4f</t>
  </si>
  <si>
    <t>Quantitative Intern</t>
  </si>
  <si>
    <t>Apply →  optiver.com/join-us/jobs/institutional-sales-and-trading/c</t>
  </si>
  <si>
    <t>Quantitative Intern - Summer 2027</t>
  </si>
  <si>
    <t>Apply →  optiver.com/join-us/jobs/8682750002/?gh_jid=8682750002</t>
  </si>
  <si>
    <t>Software Engineer Intern (Summer 2027 - Chicago)</t>
  </si>
  <si>
    <t>Apply →  builtin.com/job/software-engineer-intern-summer-2027-chica</t>
  </si>
  <si>
    <t>Trading firm SWE intern</t>
  </si>
  <si>
    <t>Investment Analyst Intern, Point72 Academy</t>
  </si>
  <si>
    <t>Apply →  careers.point72.com/CSJobDetail?jobName=2027-point72-acade</t>
  </si>
  <si>
    <t>Electrical Engineer Intern</t>
  </si>
  <si>
    <t>Apply →  jobs.ashbyhq.com/skydio/9ac944bc-89da-44bb-bf9c-3b9922e7cb</t>
  </si>
  <si>
    <t>Apply →  careers.sig.com/jobs/10838</t>
  </si>
  <si>
    <t>Apply →  careers-sig.icims.com/jobs/11170/job</t>
  </si>
  <si>
    <t>Apply →  careers.sig.com/job/10717/Quantitative-Trader-Internship-S</t>
  </si>
  <si>
    <t>Summer 2027 explicit in URL</t>
  </si>
  <si>
    <t>Apply →  careers-sig.icims.com/jobs/10849/job</t>
  </si>
  <si>
    <t>2026-06-30</t>
  </si>
  <si>
    <t>Trading System Engineer Intern</t>
  </si>
  <si>
    <t>Apply →  careers-sig.icims.com/jobs/11169/job</t>
  </si>
  <si>
    <t>Apply →  careers.sig.com/jobs/10837?lang=en-us&amp;mode=apply&amp;iis=Linke</t>
  </si>
  <si>
    <t>Quantitative Trader Intern - Summer 2027</t>
  </si>
  <si>
    <t>Apply →  tower-research.com/open-positions/?gh_jid=8024128</t>
  </si>
  <si>
    <t>35</t>
  </si>
  <si>
    <t>2027 Summer Internship Program, AMERS</t>
  </si>
  <si>
    <t>Apply →  careers.blackrock.com/job/new-york/2027-summer-internship-</t>
  </si>
  <si>
    <t>Multiple US locations; includes tech tracks</t>
  </si>
  <si>
    <t>City of Austin</t>
  </si>
  <si>
    <t>Research Analyst Intern</t>
  </si>
  <si>
    <t>Apply →  austintexas.wd5.myworkdayjobs.com/COA_Careers/job/Fire-Hea</t>
  </si>
  <si>
    <t>Cubist Systematic Strategies</t>
  </si>
  <si>
    <t>Apply →  job-boards.greenhouse.io/embed/job_app?for=point72&amp;token=7</t>
  </si>
  <si>
    <t>Point72 affiliate</t>
  </si>
  <si>
    <t>Systems Administrator Intern (New York)</t>
  </si>
  <si>
    <t>Apply →  deshaw.com/careers/systems-administrator-intern-new-york-5</t>
  </si>
  <si>
    <t>zapply visa col: blank</t>
  </si>
  <si>
    <t>Apply →  job-boards.greenhouse.io/fiveringsllc/jobs/5139668008</t>
  </si>
  <si>
    <t>Flow Traders</t>
  </si>
  <si>
    <t>Quantitative Trading Intern</t>
  </si>
  <si>
    <t>Apply →  job-boards.greenhouse.io/flowtraders/jobs/8047166</t>
  </si>
  <si>
    <t>Digital Technology Internship - Summer 2027</t>
  </si>
  <si>
    <t>Atlanta, GA; Greenville, SC; Schenectady, NY</t>
  </si>
  <si>
    <t>Apply →  gevernova.wd5.myworkdayjobs.com/vernova_externalsite/job/A</t>
  </si>
  <si>
    <t>iHeartMedia</t>
  </si>
  <si>
    <t>Research Intern</t>
  </si>
  <si>
    <t>Virtual, FL</t>
  </si>
  <si>
    <t>Apply →  iheartmedia.wd5.myworkdayjobs.com/External_iHM/job/Virtual</t>
  </si>
  <si>
    <t>Integra FEC</t>
  </si>
  <si>
    <t>Data Scientist Intern - PhD (Fall)</t>
  </si>
  <si>
    <t>Apply →  job-boards.greenhouse.io/integra/jobs/5134592008</t>
  </si>
  <si>
    <t>Learn Student Ambassadors</t>
  </si>
  <si>
    <t>Apply →  mvp.microsoft.com/studentambassadors</t>
  </si>
  <si>
    <t>Rolling; not a paid internship</t>
  </si>
  <si>
    <t>NeoCognition</t>
  </si>
  <si>
    <t>Apply →  jobs.ashbyhq.com/neocognition/f6b58e72-94eb-4090-a84e-d961</t>
  </si>
  <si>
    <t>Full Stack Software Engineer Intern</t>
  </si>
  <si>
    <t>Seattle, WA; San Francisco, CA; New York, NY</t>
  </si>
  <si>
    <t>Apply →  ats.rippling.com/rippling/jobs/35b3ba25-ff2e-4b68-a2d7-61b</t>
  </si>
  <si>
    <t>2026-06-05</t>
  </si>
  <si>
    <t>Winter 2027 cycle</t>
  </si>
  <si>
    <t>Schonfeld Strategic Advisors</t>
  </si>
  <si>
    <t>2027 Summer Internships - Express Your Interest</t>
  </si>
  <si>
    <t>Apply →  job-boards.greenhouse.io/schonfeld/jobs/7635430</t>
  </si>
  <si>
    <t>Early-interest pipeline req</t>
  </si>
  <si>
    <t>Summer of Bitcoin</t>
  </si>
  <si>
    <t>Summer of Bitcoin Intern</t>
  </si>
  <si>
    <t>Apply →  summerofbitcoin.org/</t>
  </si>
  <si>
    <t>Open-source stipend program</t>
  </si>
  <si>
    <t>Walleye Capital</t>
  </si>
  <si>
    <t>Software Engineer Intern (Risk Technology)</t>
  </si>
  <si>
    <t>New York, NY; Boston, MA; Miami, FL</t>
  </si>
  <si>
    <t>Volatility Trading Developer Intern (Summer 2027)</t>
  </si>
  <si>
    <t>2026-06-01</t>
  </si>
  <si>
    <t>34</t>
  </si>
  <si>
    <t>ABC News (Disney)</t>
  </si>
  <si>
    <t>Product Management and Engineering Intern</t>
  </si>
  <si>
    <t>Apply →  jobs.disneycareers.com/job/new-york/abc-news-product-manag</t>
  </si>
  <si>
    <t>Summer/Fall 2026 term; PM role</t>
  </si>
  <si>
    <t>ACDS</t>
  </si>
  <si>
    <t>AI Operations Intern - Caddell Reynolds</t>
  </si>
  <si>
    <t>Fort Smith, AR</t>
  </si>
  <si>
    <t>Apply →  jobs.lever.co/acds/01fdf41b-a835-4e00-8d01-0275677a8f08</t>
  </si>
  <si>
    <t>AI Operations Intern - Naukr AI</t>
  </si>
  <si>
    <t>Apply →  jobs.lever.co/acds/41bee5e2-6477-428f-b359-34b4071d545f</t>
  </si>
  <si>
    <t>Altera</t>
  </si>
  <si>
    <t>AI Software Development Engineer - Intern</t>
  </si>
  <si>
    <t>Apply →  applyguy.ai/jobs?company=Altera&amp;job=23c5e711-8b9d-438b-89a</t>
  </si>
  <si>
    <t>FPGA/AI tooling</t>
  </si>
  <si>
    <t>Amwins</t>
  </si>
  <si>
    <t>Analytics &amp; AI Intern</t>
  </si>
  <si>
    <t>Windsor, CT</t>
  </si>
  <si>
    <t>Apply →  amwins.com/who-we-are/careers/open-positions?gh_jid=430222</t>
  </si>
  <si>
    <t>Appian</t>
  </si>
  <si>
    <t>McLean, VA</t>
  </si>
  <si>
    <t>Apply →  job-boards.greenhouse.io/appian/jobs/8041243</t>
  </si>
  <si>
    <t>Apprenticely</t>
  </si>
  <si>
    <t>AI Software Engineer Intern - Bastazo</t>
  </si>
  <si>
    <t>Apply →  applyguy.ai/jobs?company=Apprenticely&amp;job=79b73f7b-3f9b-42</t>
  </si>
  <si>
    <t>AI Operations Intern</t>
  </si>
  <si>
    <t>Apply →  jobs.lever.co/acds/b59f2570-51bf-48ff-9ec2-f5548e068e34/ap</t>
  </si>
  <si>
    <t>Arlo</t>
  </si>
  <si>
    <t>Software Engineer Intern, iOS, AI-Assisted Development</t>
  </si>
  <si>
    <t>Apply →  arlo.wd12.myworkdayjobs.com/en-US/external_careers/job/Mil</t>
  </si>
  <si>
    <t>ASM Global</t>
  </si>
  <si>
    <t>Automation &amp; AI Technology Experience Intern</t>
  </si>
  <si>
    <t>West Conshohocken, PA</t>
  </si>
  <si>
    <t>Apply →  asmglobal.wd1.myworkdayjobs.com/en-US/careers/job/West-Con</t>
  </si>
  <si>
    <t>2026-04-18</t>
  </si>
  <si>
    <t>Bestow</t>
  </si>
  <si>
    <t>Business Operations and AI Intern</t>
  </si>
  <si>
    <t>Apply →  jobs.ashbyhq.com/bestow/df5ebc0c-435d-430b-b0e3-23f36cb038</t>
  </si>
  <si>
    <t>Business ops</t>
  </si>
  <si>
    <t>AI/SWE Intern</t>
  </si>
  <si>
    <t>Bosch Group</t>
  </si>
  <si>
    <t>Wireless Systems Research Intern</t>
  </si>
  <si>
    <t>Apply →  jobs.smartrecruiters.com/BoschGroup/744000141552037</t>
  </si>
  <si>
    <t>Boys Town</t>
  </si>
  <si>
    <t>Artificial Intelligence &amp; Machine Learning Intern</t>
  </si>
  <si>
    <t>Omaha, NE</t>
  </si>
  <si>
    <t>Apply →  boystown.wd1.myworkdayjobs.com/boystowncareers/job/Omaha-N</t>
  </si>
  <si>
    <t>Current Master's - Data Science Internship - Summer 2027</t>
  </si>
  <si>
    <t>Apply →  capitalone.wd12.myworkdayjobs.com/en-US/capital_one/job/Mc</t>
  </si>
  <si>
    <t>MS-specific track - strong fit</t>
  </si>
  <si>
    <t>Current PhD - Data Science Internship - Summer 2027</t>
  </si>
  <si>
    <t>Data Analyst Intern</t>
  </si>
  <si>
    <t>Apply →  capitalonecareers.com/job/mclean/data-analyst-intern-summe</t>
  </si>
  <si>
    <t>Cole Engineering Services</t>
  </si>
  <si>
    <t>Hanover, MD</t>
  </si>
  <si>
    <t>Apply →  jobs-cesi.icims.com/jobs/10965/ai-intern/job</t>
  </si>
  <si>
    <t>Defense contractor; verify clearance</t>
  </si>
  <si>
    <t>Graduate/PhD Research Intern - Machine Learning</t>
  </si>
  <si>
    <t>2026-04-26</t>
  </si>
  <si>
    <t>Grad/PhD</t>
  </si>
  <si>
    <t>Core &amp; Main</t>
  </si>
  <si>
    <t>Intern - AI/ML Data Engineering - Onsite</t>
  </si>
  <si>
    <t>Saint Louis, MO</t>
  </si>
  <si>
    <t>Apply →  coreandmain.wd1.myworkdayjobs.com/coreandmain/job/Saint-Lo</t>
  </si>
  <si>
    <t>Intern, AI/ML Data Engineering</t>
  </si>
  <si>
    <t>Apply →  coreandmain.wd1.myworkdayjobs.com/en-US/coreandmain/job/Sa</t>
  </si>
  <si>
    <t>CPI Card Group</t>
  </si>
  <si>
    <t>Intern, AI Automation &amp; Process Analyst</t>
  </si>
  <si>
    <t>Littleton, CO</t>
  </si>
  <si>
    <t>Apply →  careers-cpicardgroup.icims.com/jobs/11215/intern-ai-automa</t>
  </si>
  <si>
    <t>CSBio</t>
  </si>
  <si>
    <t>Apply →  applyguy.ai/jobs?company=CSBio&amp;job=db772e87-8786-49f8-b23c</t>
  </si>
  <si>
    <t>EdgeTrace</t>
  </si>
  <si>
    <t>AI Full-Stack Engineering Intern</t>
  </si>
  <si>
    <t>Apply →  workatastartup.com/jobs/86239</t>
  </si>
  <si>
    <t>2025-12-09</t>
  </si>
  <si>
    <t>YC startup; older posting</t>
  </si>
  <si>
    <t>Eragon</t>
  </si>
  <si>
    <t>Applied AI Intern</t>
  </si>
  <si>
    <t>Apply →  jobs.ashbyhq.com/eragon/0b90ea4a-8684-4ae1-a7cc-c998db6e86</t>
  </si>
  <si>
    <t>Software Engineering Intern - Agent Platform (AI)</t>
  </si>
  <si>
    <t>Apply →  applyguy.ai/jobs?company=Exowatt&amp;job=76db5bf4-7ca6-4973-86</t>
  </si>
  <si>
    <t>Faraday Future</t>
  </si>
  <si>
    <t>Finance &amp; AI Automation Intern</t>
  </si>
  <si>
    <t>El Segundo, CA</t>
  </si>
  <si>
    <t>Apply →  job-boards.greenhouse.io/faradayfuture/jobs/7799326003</t>
  </si>
  <si>
    <t>Firework</t>
  </si>
  <si>
    <t>AI Content Intern</t>
  </si>
  <si>
    <t>Apply →  jobs.lever.co/fireworkhq/30defeef-fd18-4a43-aa77-3462cca3a</t>
  </si>
  <si>
    <t>GenScript</t>
  </si>
  <si>
    <t>AI Researcher Intern</t>
  </si>
  <si>
    <t>Piscataway, NJ</t>
  </si>
  <si>
    <t>Apply →  job-boards.greenhouse.io/genscript/jobs/5138842007</t>
  </si>
  <si>
    <t>Gitar</t>
  </si>
  <si>
    <t>Apply →  builtinsf.com/job/software-engineer-intern/7607952</t>
  </si>
  <si>
    <t>AI code-migration startup</t>
  </si>
  <si>
    <t>Harvard Maintenance</t>
  </si>
  <si>
    <t>AI Engineering Intern</t>
  </si>
  <si>
    <t>Apply →  hmi-harvard.icims.com/jobs/38031/ai-engineering-intern-380</t>
  </si>
  <si>
    <t>Harvard Services Group</t>
  </si>
  <si>
    <t>Apply →  hsg-harvard.icims.com/jobs/38031/ai-engineering-intern-380</t>
  </si>
  <si>
    <t>Hitachi Energy</t>
  </si>
  <si>
    <t>Apply →  hitachi.wd1.myworkdayjobs.com/hitachi/job/Raleigh-North-Ca</t>
  </si>
  <si>
    <t>Campus Data Engineer Intern</t>
  </si>
  <si>
    <t>Apply →  jumptrading.com/hr/job?gh_jid=8002998</t>
  </si>
  <si>
    <t>K1</t>
  </si>
  <si>
    <t>AI Automation Intern</t>
  </si>
  <si>
    <t>Manhattan Beach, CA</t>
  </si>
  <si>
    <t>Apply →  k1im.applytojob.com/apply/ISSTIdON0L/AI-Automation-Intern</t>
  </si>
  <si>
    <t>Kion Group</t>
  </si>
  <si>
    <t>AI Internships</t>
  </si>
  <si>
    <t>Wauwatosa, WI</t>
  </si>
  <si>
    <t>Apply →  kiongroup.wd3.myworkdayjobs.com/en-US/kion_scs/job/Wauwato</t>
  </si>
  <si>
    <t>Leland</t>
  </si>
  <si>
    <t>AI Education Intern</t>
  </si>
  <si>
    <t>Lehi, UT</t>
  </si>
  <si>
    <t>Apply →  jobs.ashbyhq.com/leland/94347c0b-273b-4c17-9987-5639126296</t>
  </si>
  <si>
    <t>Co-Op, AI Security</t>
  </si>
  <si>
    <t>Apply →  job-boards.greenhouse.io/lilasciences/jobs/4280945009</t>
  </si>
  <si>
    <t>Co-op, Machine Learning for Digital Twins</t>
  </si>
  <si>
    <t>Apply →  job-boards.greenhouse.io/lilasciences/jobs/4280809009</t>
  </si>
  <si>
    <t>Co-Op, ML Scientist for Biology</t>
  </si>
  <si>
    <t>Apply →  job-boards.greenhouse.io/lilasciences/jobs/4294212009</t>
  </si>
  <si>
    <t>Co-Op, ML Scientist for Protein Engineering</t>
  </si>
  <si>
    <t>Apply →  job-boards.greenhouse.io/lilasciences/jobs/4289387009</t>
  </si>
  <si>
    <t>Marmon Holdings</t>
  </si>
  <si>
    <t>Decatur, AL</t>
  </si>
  <si>
    <t>Apply →  marmon.wd501.myworkdayjobs.com/Marmon_Careers/job/Hartsell</t>
  </si>
  <si>
    <t>METR</t>
  </si>
  <si>
    <t>Platform Engineer, Intern</t>
  </si>
  <si>
    <t>Apply →  jobs.lever.co/metr/52fca070-da6a-441e-b1d1-8184c51b52e6</t>
  </si>
  <si>
    <t>AI eval nonprofit; listed pay $312K annualized</t>
  </si>
  <si>
    <t>Nationwide Children's Hospital</t>
  </si>
  <si>
    <t>Columbus, OH</t>
  </si>
  <si>
    <t>Apply →  nationwidechildrens.wd5.myworkdayjobs.com/en-US/NCHCareers</t>
  </si>
  <si>
    <t>Neighborly</t>
  </si>
  <si>
    <t>AI Internship</t>
  </si>
  <si>
    <t>Irving, TX</t>
  </si>
  <si>
    <t>Apply →  neighborlybrands.wd1.myworkdayjobs.com/neighborly/job/Irvi</t>
  </si>
  <si>
    <t>Nelnet</t>
  </si>
  <si>
    <t>Agentic AI Intern - Marketing and Communications</t>
  </si>
  <si>
    <t>Apply →  nelnet.wd1.myworkdayjobs.com/MyNelnet/job/Lincoln-NE/Agent</t>
  </si>
  <si>
    <t>zapply visa col: blank; age 5d</t>
  </si>
  <si>
    <t>Intern - AI Engineer</t>
  </si>
  <si>
    <t>Apply →  nelnet.wd1.myworkdayjobs.com/MyNelnet/job/Lincoln-NE/Inter</t>
  </si>
  <si>
    <t>Intern Program - Agentic AI</t>
  </si>
  <si>
    <t>Netic</t>
  </si>
  <si>
    <t>Software Engineer (Agent Platform) - Intern - 2026-2027</t>
  </si>
  <si>
    <t>Apply →  applyguy.ai/jobs?company=Netic&amp;job=ec903002-9713-4b66-bc66</t>
  </si>
  <si>
    <t>AI agent platform</t>
  </si>
  <si>
    <t>New York Post</t>
  </si>
  <si>
    <t>Product Intern - Fall 2026</t>
  </si>
  <si>
    <t>Apply →  dowjones.wd1.myworkdayjobs.com/New_York_Post_Careers/job/N</t>
  </si>
  <si>
    <t>10 wks, 24 hrs/wk; NYC part-time</t>
  </si>
  <si>
    <t>Nextiva</t>
  </si>
  <si>
    <t>Forward Deployed Engineer Intern - AI Implementation</t>
  </si>
  <si>
    <t>Apply →  nextiva.com/company/careers-listing?gh_jid=8639480002</t>
  </si>
  <si>
    <t>Onsite</t>
  </si>
  <si>
    <t>NorthStar Medical Radioisotopes</t>
  </si>
  <si>
    <t>AI Application Development Intern</t>
  </si>
  <si>
    <t>Beloit, WI</t>
  </si>
  <si>
    <t>Apply →  careers-northstarnm.icims.com/jobs/2144/ai-application-dev</t>
  </si>
  <si>
    <t>Graduate (Year-Round) Intern: Geospatial Data Science Modeling and Analysis</t>
  </si>
  <si>
    <t>Apply →  nrel.wd5.myworkdayjobs.com/NLR/job/Golden-CO/Graduate--Yea</t>
  </si>
  <si>
    <t>Graduate-level, year-round; national lab</t>
  </si>
  <si>
    <t>Oracle</t>
  </si>
  <si>
    <t>OH Product Manager Intern - OVIP</t>
  </si>
  <si>
    <t>Kansas City, MO</t>
  </si>
  <si>
    <t>Apply →  eeho.fa.us2.oraclecloud.com/hcmUI/CandidateExperience/en/s</t>
  </si>
  <si>
    <t>zapply visa col: blank; age 2mo</t>
  </si>
  <si>
    <t>Penn State</t>
  </si>
  <si>
    <t>AI/ML Research and Development Intern</t>
  </si>
  <si>
    <t>Reston, VA</t>
  </si>
  <si>
    <t>Apply →  psu.wd1.myworkdayjobs.com/en-US/psu_staff/job/Penn-State-U</t>
  </si>
  <si>
    <t>Pentair</t>
  </si>
  <si>
    <t>Product Management Leadership Development Internship - Summer 2027</t>
  </si>
  <si>
    <t>Golden Valley, MN</t>
  </si>
  <si>
    <t>Apply →  pentair.wd5.myworkdayjobs.com/pentair_careers/job/Golden-V</t>
  </si>
  <si>
    <t>Phonely</t>
  </si>
  <si>
    <t>Apply →  builtinsf.com/job/software-engineer-intern/9645929</t>
  </si>
  <si>
    <t>Voice AI startup</t>
  </si>
  <si>
    <t>Research Engineer Intern - Control</t>
  </si>
  <si>
    <t>Apply →  jobs.lever.co/plus-2/ac7f8f73-88d0-48d5-8d4f-71ed4cfa6ecc</t>
  </si>
  <si>
    <t>Research Engineer Intern - Mapping &amp; Localization</t>
  </si>
  <si>
    <t>Apply →  jobs.lever.co/plus-2/efbb82d3-1c4a-4fc9-8b40-ee1545085061</t>
  </si>
  <si>
    <t>Postman</t>
  </si>
  <si>
    <t>AI Engineer, Intern</t>
  </si>
  <si>
    <t>Apply →  job-boards.greenhouse.io/postman/jobs/7823417003</t>
  </si>
  <si>
    <t>Quadric</t>
  </si>
  <si>
    <t>AI Inference Engineer Intern, Model Pruning</t>
  </si>
  <si>
    <t>Burlingame, CA</t>
  </si>
  <si>
    <t>Apply →  apply.workable.com/quadric-dot-i-o-inc/j/870833317E/</t>
  </si>
  <si>
    <t>Model compression</t>
  </si>
  <si>
    <t>AI Kernel Engineer Intern, Kernel Optimization</t>
  </si>
  <si>
    <t>Apply →  apply.workable.com/quadric-dot-i-o-inc/j/6BEF4752B5/</t>
  </si>
  <si>
    <t>Edge AI accelerators</t>
  </si>
  <si>
    <t>SpreeAI</t>
  </si>
  <si>
    <t>Software Engineer Intern - AI Infrastructure / Training / Inference</t>
  </si>
  <si>
    <t>Apply →  ats.rippling.com/en-GB/spreeai/jobs/d34aed29-7a11-4e37-b5b</t>
  </si>
  <si>
    <t>Submittable</t>
  </si>
  <si>
    <t>AI Automation Intern - Business Operations</t>
  </si>
  <si>
    <t>Missoula, MT</t>
  </si>
  <si>
    <t>Apply →  job-boards.greenhouse.io/submittable/jobs/6123387004</t>
  </si>
  <si>
    <t>SWBC</t>
  </si>
  <si>
    <t>Apply →  swbc.wd1.myworkdayjobs.com/swbccareers/job/San-Antonio-TX/</t>
  </si>
  <si>
    <t>Apply →  applyguy.ai/jobs?company=Tenstorrent+University+Jobs&amp;job=1</t>
  </si>
  <si>
    <t>TIFIN</t>
  </si>
  <si>
    <t>Tiffin, OH</t>
  </si>
  <si>
    <t>Apply →  tifin.com/careers/apply/?gh_jid=5981740004</t>
  </si>
  <si>
    <t>Toast</t>
  </si>
  <si>
    <t>MBA Intern - AI Ops Transformation</t>
  </si>
  <si>
    <t>Apply →  careers.toasttab.com/jobs?gh_jid=7909139</t>
  </si>
  <si>
    <t>MBA-targeted</t>
  </si>
  <si>
    <t>Toshiba Global Commerce Solutions</t>
  </si>
  <si>
    <t>Agentic Software Engineering Intern</t>
  </si>
  <si>
    <t>Apply →  applyguy.ai/jobs?company=Toshiba+Global+Commerce+Solutions</t>
  </si>
  <si>
    <t>Agentic AI focus</t>
  </si>
  <si>
    <t>AI Product Management Intern</t>
  </si>
  <si>
    <t>AI PM role - strong fit</t>
  </si>
  <si>
    <t>AI Supply Chain Intern</t>
  </si>
  <si>
    <t>Apply →  job-boards.greenhouse.io/toshibaglobalcommercesolutions/jo</t>
  </si>
  <si>
    <t>Triple Ring Technologies</t>
  </si>
  <si>
    <t>AI &amp; People Operations Intern</t>
  </si>
  <si>
    <t>Apply →  tripleringtech.com/careers?gh_jid=4705074005</t>
  </si>
  <si>
    <t>Product Management Internship - Summer 2027</t>
  </si>
  <si>
    <t>Pleasant Prairie, WI</t>
  </si>
  <si>
    <t>Apply →  uline.wd1.myworkdayjobs.com/en-US/Uline_Careers/job/Pleasa</t>
  </si>
  <si>
    <t>Univision</t>
  </si>
  <si>
    <t>Co-Op, Product Manager - Personalization &amp; New Experiences</t>
  </si>
  <si>
    <t>Apply →  applyguy.ai/jobs?company=Univision&amp;job=4a397f1d-cd17-45ac-</t>
  </si>
  <si>
    <t>PM co-op; personalization/ML</t>
  </si>
  <si>
    <t>33</t>
  </si>
  <si>
    <t>Application Engineering Intern</t>
  </si>
  <si>
    <t>Lombard, IL</t>
  </si>
  <si>
    <t>Apply →  abb.wd3.myworkdayjobs.com/external_career_page/job/Alphare</t>
  </si>
  <si>
    <t>Applied Materials</t>
  </si>
  <si>
    <t>2026 Fall Quality Engineering Co-op</t>
  </si>
  <si>
    <t>Billerica, MA</t>
  </si>
  <si>
    <t>Apply →  amat.wd1.myworkdayjobs.com/External/job/BillericaMA/XMLNAM</t>
  </si>
  <si>
    <t>2027 Spring Industrial Engineer Co-op</t>
  </si>
  <si>
    <t>Charleston, SC</t>
  </si>
  <si>
    <t>Apply →  jobs.smartrecruiters.com/BoschGroup/744000141338859</t>
  </si>
  <si>
    <t>Intern, Full Stack Software Engineer - Team Integrated Storefront - Fall 2026</t>
  </si>
  <si>
    <t>Apply →  capitalone.wd12.myworkdayjobs.com/en-US/Capital_One/job/In</t>
  </si>
  <si>
    <t>Data Engineering Intern</t>
  </si>
  <si>
    <t>Centific</t>
  </si>
  <si>
    <t>Research Intern - Applied Reinforcement Learning</t>
  </si>
  <si>
    <t>Apply →  centific.wd1.myworkdayjobs.com/en-US/centific_global/job/R</t>
  </si>
  <si>
    <t>Software Engineer 1 Intern</t>
  </si>
  <si>
    <t>San Jose, CA; Durham, NC (+1)</t>
  </si>
  <si>
    <t>Apply →  boards.greenhouse.io/cloudflare/jobs/8052785</t>
  </si>
  <si>
    <t>Software Engineer Intern (Fall 2026) - Austin, TX</t>
  </si>
  <si>
    <t>Apply →  applyguy.ai/jobs?company=Cloudflare&amp;job=896765d6-434a-4ada</t>
  </si>
  <si>
    <t>Systems Engineer Intern - Data Residency, Global Resource Management</t>
  </si>
  <si>
    <t>Apply →  boards.greenhouse.io/cloudflare/jobs/8015230</t>
  </si>
  <si>
    <t>Electronic Arts</t>
  </si>
  <si>
    <t>Software Engineer Intern - Fall (Frostbite)</t>
  </si>
  <si>
    <t>Orlando, FL</t>
  </si>
  <si>
    <t>Apply →  jobs.ea.com/en_US/careers/JobDetail/Software-Engineer-Inte</t>
  </si>
  <si>
    <t>Power Systems Integration Intern (Fall 2026)</t>
  </si>
  <si>
    <t>Apply →  job-boards.greenhouse.io/figureai/jobs/4702104006</t>
  </si>
  <si>
    <t>GE Healthcare</t>
  </si>
  <si>
    <t>Field Engineer Apprentice</t>
  </si>
  <si>
    <t>Detroit, MI</t>
  </si>
  <si>
    <t>Apply →  gehc.wd5.myworkdayjobs.com/GEHC_ExternalSite/job/Detroit/F</t>
  </si>
  <si>
    <t>Little Rock, AR</t>
  </si>
  <si>
    <t>Apply →  gehc.wd5.myworkdayjobs.com/GEHC_ExternalSite/job/Remote/Fi</t>
  </si>
  <si>
    <t>Jackson Township, NJ</t>
  </si>
  <si>
    <t>Surgery Field Engineer Apprentice</t>
  </si>
  <si>
    <t>Austin, TX; San Antonio, TX</t>
  </si>
  <si>
    <t>Apply →  gehc.wd5.myworkdayjobs.com/GEHC_ExternalSite/job/Remote/Su</t>
  </si>
  <si>
    <t>Campus UI Software Engineer Intern</t>
  </si>
  <si>
    <t>Apply →  boards.greenhouse.io/embed/job_app?token=8003019</t>
  </si>
  <si>
    <t>Software Engineer Intern - OVIP</t>
  </si>
  <si>
    <t>Nashville, TN; Austin, TX (+2)</t>
  </si>
  <si>
    <t>Rivian</t>
  </si>
  <si>
    <t>Software Engineering Intern - Applications - Fall 2026</t>
  </si>
  <si>
    <t>Irvine, CA</t>
  </si>
  <si>
    <t>Apply →  jobs.ashbyhq.com/rivianvw.tech/3f314ca7-978e-4ad6-b527-048</t>
  </si>
  <si>
    <t>$51/hr</t>
  </si>
  <si>
    <t>Software Engineering Intern - Connected Systems - Fall 2026</t>
  </si>
  <si>
    <t>Apply →  jobs.ashbyhq.com/rivianvw.tech/50e43cbe-01ea-4b8b-be4c-bb5</t>
  </si>
  <si>
    <t>Investment Data Science Intern (Summer 2027)</t>
  </si>
  <si>
    <t>Failure Analysis Automation Engineer Intern</t>
  </si>
  <si>
    <t>Apply →  jobs.smartrecruiters.com/WesternDigital/744000139338269</t>
  </si>
  <si>
    <t>32</t>
  </si>
  <si>
    <t>Al Warren Oil Company</t>
  </si>
  <si>
    <t>Bensenville, IL</t>
  </si>
  <si>
    <t>Apply →  apply.workable.com/al-warren-oil-company-inc/j/A4487B349D/</t>
  </si>
  <si>
    <t>Anduril</t>
  </si>
  <si>
    <t>2027 Electrical Engineer Intern</t>
  </si>
  <si>
    <t>Apply →  boards.greenhouse.io/andurilindustries/jobs/5148101007?gh_</t>
  </si>
  <si>
    <t>2027 Mechanical Engineer Intern</t>
  </si>
  <si>
    <t>Apply →  boards.greenhouse.io/andurilindustries/jobs/5153187007?gh_</t>
  </si>
  <si>
    <t>Apply →  job-boards.greenhouse.io/appian/jobs/8041237</t>
  </si>
  <si>
    <t>Hardware Masters Engineering Internships</t>
  </si>
  <si>
    <t>Apply →  jobs.apple.com/en-us/details/200664419/hardware-masters-en</t>
  </si>
  <si>
    <t>Masters-level track; H-1B sponsor</t>
  </si>
  <si>
    <t>Hardware Technologies Masters Engineering Internships</t>
  </si>
  <si>
    <t>Apply →  jobs.apple.com/en-us/details/200664383/hardware-technologi</t>
  </si>
  <si>
    <t>Hardware Undergrad Engineering Internships</t>
  </si>
  <si>
    <t>Apply →  jobs.apple.com/en-us/details/200663981-3810/hardware-under</t>
  </si>
  <si>
    <t>Rolling evergreen req</t>
  </si>
  <si>
    <t>Apply →  jobs.apple.com/en-us/details/200663981/hardware-undergrad-</t>
  </si>
  <si>
    <t>Aquatic Capital Management</t>
  </si>
  <si>
    <t>Apply →  job-boards.greenhouse.io/aquaticcapitalmanagement/jobs/848</t>
  </si>
  <si>
    <t>Axon</t>
  </si>
  <si>
    <t>Boston, MA; Seattle, WA</t>
  </si>
  <si>
    <t>Apply →  job-boards.greenhouse.io/axontalentcommunity/jobs/78006170</t>
  </si>
  <si>
    <t>2027 Spring Mechanical/Electrical Engineering Intern</t>
  </si>
  <si>
    <t>Apply →  jobs.smartrecruiters.com/BoschGroup/744000141338219</t>
  </si>
  <si>
    <t>zapply visa col: H-1B Co.; age 2d</t>
  </si>
  <si>
    <t>Full-Stack Software Engineer Intern</t>
  </si>
  <si>
    <t>Houston, TX; Stamford, CT</t>
  </si>
  <si>
    <t>Circleback</t>
  </si>
  <si>
    <t>Apply →  jobs.ashbyhq.com/circleback/2bb6be67-d1a8-42f7-bb1b-64ee36</t>
  </si>
  <si>
    <t>Cybernetic Labs</t>
  </si>
  <si>
    <t>Forward Deployed Engineer Intern</t>
  </si>
  <si>
    <t>Apply →  jobs.ashbyhq.com/netic/ffd6af1a-cebb-41f5-ac1d-e695adfd067</t>
  </si>
  <si>
    <t>Full-Stack Software Engineer Intern - Product</t>
  </si>
  <si>
    <t>Apply →  jobs.ashbyhq.com/netic/f291394a-f3c5-4f46-9b87-77aea3d487e</t>
  </si>
  <si>
    <t>Software Engineer Intern - Agent Platform</t>
  </si>
  <si>
    <t>Apply →  jobs.ashbyhq.com/netic/b0ea7aab-8eea-4d31-96f9-278364180ae</t>
  </si>
  <si>
    <t>Inference Intern, Architecture</t>
  </si>
  <si>
    <t>Apply →  jobs.ashbyhq.com/Etched/aa17bfa2-2922-4aa7-820d-76064f2551</t>
  </si>
  <si>
    <t>Infrastructure Intern</t>
  </si>
  <si>
    <t>Apply →  jobs.ashbyhq.com/Etched/80926a71-0a62-4bf8-a877-b6d96df279</t>
  </si>
  <si>
    <t>Supercomputing Intern</t>
  </si>
  <si>
    <t>Apply →  jobs.ashbyhq.com/Etched/2d7039e2-190e-4039-b5a9-fff9efa7cc</t>
  </si>
  <si>
    <t>Forus</t>
  </si>
  <si>
    <t>Engineer Intern</t>
  </si>
  <si>
    <t>Apply →  jobs.ashbyhq.com/forus/82e10191-232e-4e8d-9c5e-cb82940cdfc</t>
  </si>
  <si>
    <t>FTI Consulting</t>
  </si>
  <si>
    <t>Houston, TX; Washington, DC; Atlanta, GA (7 locations)</t>
  </si>
  <si>
    <t>Apply →  fticonsulting.wd108.myworkdayjobs.com/FTIConsultingCareers</t>
  </si>
  <si>
    <t>Technology Intern - Technology</t>
  </si>
  <si>
    <t>Gemini</t>
  </si>
  <si>
    <t>Software Engineering Intern (Fall 2026)</t>
  </si>
  <si>
    <t>Apply →  boards.greenhouse.io/embed/job_app?for=gemini&amp;token=787512</t>
  </si>
  <si>
    <t>2026-05-01</t>
  </si>
  <si>
    <t>Crypto exchange</t>
  </si>
  <si>
    <t>Genworth Financial</t>
  </si>
  <si>
    <t>IT Development Program Intern - IT Development Program</t>
  </si>
  <si>
    <t>Richmond, VA</t>
  </si>
  <si>
    <t>Apply →  gnw.wd1.myworkdayjobs.com/GNW/job/Richmond-Virginia/Genwor</t>
  </si>
  <si>
    <t>GoDaddy</t>
  </si>
  <si>
    <t>Tempe, AZ</t>
  </si>
  <si>
    <t>Apply →  job-boards.greenhouse.io/eventsandinterns/jobs/7820942003</t>
  </si>
  <si>
    <t>H&amp;CO</t>
  </si>
  <si>
    <t>Software Development Intern</t>
  </si>
  <si>
    <t>Coral Gables, FL</t>
  </si>
  <si>
    <t>Apply →  career41.sapsf.com/career?career_ns=job_listing&amp;company=hc</t>
  </si>
  <si>
    <t>HNTB</t>
  </si>
  <si>
    <t>Co-op Engineer: Track Design/Rail - Fall Winter 2026 2027</t>
  </si>
  <si>
    <t>Apply →  hntb.wd5.myworkdayjobs.com/hntb_careers/job/Philadelphia-P</t>
  </si>
  <si>
    <t>Apply →  imc.com/us/careers/jobs/4823924101</t>
  </si>
  <si>
    <t>Junior AI</t>
  </si>
  <si>
    <t>Apply →  jobs.ashbyhq.com/junior/23ee686b-d305-4ac9-860d-16c99ddb48</t>
  </si>
  <si>
    <t>KION Group</t>
  </si>
  <si>
    <t>Grand Rapids, MI; Rochester, NY (+7)</t>
  </si>
  <si>
    <t>Apply →  kiongroup.wd3.myworkdayjobs.com/kiongroup/job/Grand-Rapids</t>
  </si>
  <si>
    <t>Software Engineering Intern (Fall/Winter 2026)</t>
  </si>
  <si>
    <t>Apply →  jobs.ashbyhq.com/melius/6a944911-dbbf-44c7-ba52-7866f7b433</t>
  </si>
  <si>
    <t>Software Engineer Intern - Agent Platform / Full Stack</t>
  </si>
  <si>
    <t>Netsmart</t>
  </si>
  <si>
    <t>Overland Park, KS</t>
  </si>
  <si>
    <t>Apply →  ntst.wd1.myworkdayjobs.com/careers/job/Overland-Park-KS/So</t>
  </si>
  <si>
    <t>Old Mission</t>
  </si>
  <si>
    <t>Apply →  oldmissioncapital.com/careers/?gh_jid=7796180003</t>
  </si>
  <si>
    <t>Software Engineer Intern - June Start</t>
  </si>
  <si>
    <t>Apply →  job-boards.greenhouse.io/oldmissioncapital/jobs/7796180003</t>
  </si>
  <si>
    <t>Washington, D.C.</t>
  </si>
  <si>
    <t>Software Engineer Intern, Production Infrastructure</t>
  </si>
  <si>
    <t>Podium</t>
  </si>
  <si>
    <t>Apply →  job-boards.greenhouse.io/podium81/jobs/7939921</t>
  </si>
  <si>
    <t>Pylon</t>
  </si>
  <si>
    <t>Apply →  jobs.ashbyhq.com/pylon-labs/fcea8b52-81f1-4b0c-b575-d7b180</t>
  </si>
  <si>
    <t>Second Order Effects</t>
  </si>
  <si>
    <t>Electrical Engineering Intern</t>
  </si>
  <si>
    <t>El Segundo, CA; Redmond, WA</t>
  </si>
  <si>
    <t>Apply →  jobs.gem.com/soeffects/am9icG9zdDqLIuZagE8SU-HqhGf7TGYo</t>
  </si>
  <si>
    <t>Core Developer Intern</t>
  </si>
  <si>
    <t>Apply →  job-boards.greenhouse.io/sevenresearch/jobs/4895047008</t>
  </si>
  <si>
    <t>SimonComputing</t>
  </si>
  <si>
    <t>Software Development Internship</t>
  </si>
  <si>
    <t>Alexandria, VA</t>
  </si>
  <si>
    <t>Apply →  simoncomputing.applicantpro.com/jobs/4115690</t>
  </si>
  <si>
    <t>Solar Turbines</t>
  </si>
  <si>
    <t>IT Intern</t>
  </si>
  <si>
    <t>Apply →  cat.wd5.myworkdayjobs.com/SolarTurbines/job/San-Diego-Cali</t>
  </si>
  <si>
    <t>Solutions Platforms Engineered Intern</t>
  </si>
  <si>
    <t>Stoke Space</t>
  </si>
  <si>
    <t>Kent, WA</t>
  </si>
  <si>
    <t>Apply →  stokespace.com/careers/current-openings/?gh_jid=5987663004</t>
  </si>
  <si>
    <t>The Trade Desk</t>
  </si>
  <si>
    <t>Software Engineering Intern - North America</t>
  </si>
  <si>
    <t>Denver, CO (multiple US)</t>
  </si>
  <si>
    <t>Apply →  job-boards.greenhouse.io/thetradedesk/jobs/5187605007</t>
  </si>
  <si>
    <t>Network Security Software Engineer Intern - Security Engineering</t>
  </si>
  <si>
    <t>Apply →  jobs.bytedance.com/en/position/7667876489597257989</t>
  </si>
  <si>
    <t>Listed as Fall 2027 cycle</t>
  </si>
  <si>
    <t>TSMC Arizona</t>
  </si>
  <si>
    <t>Summer 2027 TSMC AZ Internship Opportunities - Engineering Roles</t>
  </si>
  <si>
    <t>Apply →  ro.careers.tsmc.com/job/Phoenix-Summer-2027-TSMC-AZ-Intern</t>
  </si>
  <si>
    <t>12 engineering roles under one req</t>
  </si>
  <si>
    <t>Network Engineer Internship - Summer 2027</t>
  </si>
  <si>
    <t>Apply →  uline.wd1.myworkdayjobs.com/Uline_Careers/job/Pleasant-Pra</t>
  </si>
  <si>
    <t>Waukegan, IL; Milwaukee, WI; Glenview, IL; Pleasant Prairie, WI; Kenosha, WI</t>
  </si>
  <si>
    <t>Software Engineering Intern, Policy Engineering</t>
  </si>
  <si>
    <t>Apply →  job-boards.eu.greenhouse.io/veeamsoftware/jobs/4857828101</t>
  </si>
  <si>
    <t>Vertiv</t>
  </si>
  <si>
    <t>Thermal Application Engineer Intern - Summer 2027</t>
  </si>
  <si>
    <t>Westerville, OH</t>
  </si>
  <si>
    <t>Apply →  egup.fa.us2.oraclecloud.com/hcmUI/CandidateExperience/en/s</t>
  </si>
  <si>
    <t>WSP</t>
  </si>
  <si>
    <t>Apply →  emit.fa.ca3.oraclecloud.com/hcmUI/CandidateExperience/en/s</t>
  </si>
  <si>
    <t>31</t>
  </si>
  <si>
    <t>Cadence</t>
  </si>
  <si>
    <t>Intern - Software Engineering</t>
  </si>
  <si>
    <t>Michigan (remote/home office)</t>
  </si>
  <si>
    <t>Apply →  cadence.wd1.myworkdayjobs.com/en-US/external_careers/job/H</t>
  </si>
  <si>
    <t>CME Group</t>
  </si>
  <si>
    <t>Quant Risk Management Intern - Year Round</t>
  </si>
  <si>
    <t>Apply →  cmegroup.wd1.myworkdayjobs.com/en-US/cme_careers/job/New-Y</t>
  </si>
  <si>
    <t>2026-04-14</t>
  </si>
  <si>
    <t>Year-round role</t>
  </si>
  <si>
    <t>Summer Intern 2027 - Quantitative Researcher (PhD)</t>
  </si>
  <si>
    <t>Apply →  job-boards.greenhouse.io/fiveringsllc/jobs/5349219008</t>
  </si>
  <si>
    <t>Apply →  flowtraders.com/careers/job-description/8047166</t>
  </si>
  <si>
    <t>Summer 2027 Software Engineering Intern</t>
  </si>
  <si>
    <t>Apply →  builtin.com/job/summer-2027-software-engineering-intern/10</t>
  </si>
  <si>
    <t>Quant hedge fund</t>
  </si>
  <si>
    <t>Summer 2027 Systems Engineering Intern</t>
  </si>
  <si>
    <t>Apply →  job-boards.greenhouse.io/pdtpartners/jobs/8083292</t>
  </si>
  <si>
    <t>Quant fund</t>
  </si>
  <si>
    <t>PGIM</t>
  </si>
  <si>
    <t>2027 Private Credit Summer Investment Analyst Program</t>
  </si>
  <si>
    <t>San Francisco, CA; Los Angeles, CA; Dallas, TX; Newark, NJ; Chicago, IL; New York, NY; Minneapolis, MN; Atlanta, GA</t>
  </si>
  <si>
    <t>Apply →  pru.wd5.myworkdayjobs.com/pgim_careers/job/Newark-NJ-USA/P</t>
  </si>
  <si>
    <t>2027 Real Estate Equity Summer Investment Analyst Program</t>
  </si>
  <si>
    <t>San Francisco, CA; Newark, NJ; Chicago, IL; New York, NY; Atlanta, GA</t>
  </si>
  <si>
    <t>2026-07-19</t>
  </si>
  <si>
    <t>Prudential Financial</t>
  </si>
  <si>
    <t>PGIM 2027 Private Credit Summer Investment Analyst Program</t>
  </si>
  <si>
    <t>Apply →  pru.wd5.myworkdayjobs.com/Careers/job/Newark-NJ-USA/PGIM--</t>
  </si>
  <si>
    <t>PGIM 2027 Real Estate Equity Summer Investment Analyst Program</t>
  </si>
  <si>
    <t>Software Engineering Intern (Summer 2027)</t>
  </si>
  <si>
    <t>Apply →  applyguy.ai/jobs?company=RTX&amp;job=7502e13a-2c2b-4b32-a35e-7</t>
  </si>
  <si>
    <t>Remote, TX</t>
  </si>
  <si>
    <t>Apply →  globalhr.wd5.myworkdayjobs.com/fr-CA/Private_Posting_No_TM</t>
  </si>
  <si>
    <t>Defense; verify citizenship rules</t>
  </si>
  <si>
    <t>Apply →  job-boards.greenhouse.io/sevenresearch/jobs/4895082008</t>
  </si>
  <si>
    <t>Twilio</t>
  </si>
  <si>
    <t>Developer Advocacy Intern</t>
  </si>
  <si>
    <t>Apply →  job-boards.greenhouse.io/twilio/jobs/7728956</t>
  </si>
  <si>
    <t>30</t>
  </si>
  <si>
    <t>BorgWarner</t>
  </si>
  <si>
    <t>Market Research Intern (Year-Round) - Corporate &amp; GMR</t>
  </si>
  <si>
    <t>Auburn Hills, MI</t>
  </si>
  <si>
    <t>Apply →  borgwarner.wd5.myworkdayjobs.com/BorgWarner_Careers/job/Au</t>
  </si>
  <si>
    <t>zapply visa col: blank; age 1d</t>
  </si>
  <si>
    <t>Hubs.is</t>
  </si>
  <si>
    <t>Product Intern</t>
  </si>
  <si>
    <t>Apply →  jobs.ashbyhq.com/hubs.is/00dc1010-f699-4f43-822b-fdfa57a0d</t>
  </si>
  <si>
    <t>PM role; fully remote</t>
  </si>
  <si>
    <t>k-ID</t>
  </si>
  <si>
    <t>Apply →  jobs.ashbyhq.com/k-id/35d45263-db3b-4553-b017-b4b1bbd0570d</t>
  </si>
  <si>
    <t>Micron Technology</t>
  </si>
  <si>
    <t>Process Development Engineer Intern - 3D DRAM Dry Etch</t>
  </si>
  <si>
    <t>Boise, ID</t>
  </si>
  <si>
    <t>Apply →  simplify.jobs/p/9ebd5006-eafb-4dda-9050-970f56260e27</t>
  </si>
  <si>
    <t>NewsBreak</t>
  </si>
  <si>
    <t>Research Intern, Agent RL Training</t>
  </si>
  <si>
    <t>Apply →  job-boards.greenhouse.io/newsbreak/jobs/4684555006</t>
  </si>
  <si>
    <t>Pendulum Intelligence</t>
  </si>
  <si>
    <t>Apply →  ats.rippling.com/pendulum-intelligence-jobs/jobs/301a1742-</t>
  </si>
  <si>
    <t>Robert Bosch Venture Capital</t>
  </si>
  <si>
    <t>Hardware &amp; Embedded Research Intern</t>
  </si>
  <si>
    <t>Apply →  jobs.smartrecruiters.com/BoschGroup/744000131150005</t>
  </si>
  <si>
    <t>Wireless Sensing Research Intern</t>
  </si>
  <si>
    <t>Apply →  jobs.smartrecruiters.com/BoschGroup/744000121477597</t>
  </si>
  <si>
    <t>Cyber/EW Research Developer, Intern (Onsite)</t>
  </si>
  <si>
    <t>Columbia, MD</t>
  </si>
  <si>
    <t>Apply →  applyguy.ai/jobs?company=RTX&amp;job=bc091d03-d95a-4954-b269-1</t>
  </si>
  <si>
    <t>Cyber/EW research; clearance likely required</t>
  </si>
  <si>
    <t>Stellar Science</t>
  </si>
  <si>
    <t>Scientific Software Developer Paid Co-op/Internship</t>
  </si>
  <si>
    <t>Albuquerque, NM</t>
  </si>
  <si>
    <t>Apply →  applyguy.ai/jobs?company=Stellar+Science&amp;job=826da19e-e120</t>
  </si>
  <si>
    <t>Defense research - clearance likely</t>
  </si>
  <si>
    <t>Stevens Capital Management</t>
  </si>
  <si>
    <t>Quantitative Research Analyst Internship</t>
  </si>
  <si>
    <t>Radnor, PA</t>
  </si>
  <si>
    <t>Apply →  job-boards.greenhouse.io/scm/jobs/721895</t>
  </si>
  <si>
    <t>University of New Hampshire</t>
  </si>
  <si>
    <t>Research Assistant - Keesee Lab</t>
  </si>
  <si>
    <t>Durham, NH</t>
  </si>
  <si>
    <t>Apply →  usnh.wd5.myworkdayjobs.com/Careers/job/University-of-New-H</t>
  </si>
  <si>
    <t>Xterra AI</t>
  </si>
  <si>
    <t>Apply →  jobs.ashbyhq.com/xterra%20ai/bc481f5a-3365-4048-8533-0c772</t>
  </si>
  <si>
    <t>29</t>
  </si>
  <si>
    <t>SHOPLINE</t>
  </si>
  <si>
    <t>Global Product Manager Trainee</t>
  </si>
  <si>
    <t>Apply →  applyguy.ai/jobs?company=SHOPLINE&amp;job=f61af636-e073-4bfe-8</t>
  </si>
  <si>
    <t>Research Intern, Model Shaping</t>
  </si>
  <si>
    <t>San Francisco, CA; Amsterdam, Netherlands</t>
  </si>
  <si>
    <t>Posting states no visa sponsorship</t>
  </si>
  <si>
    <t>Apply →  job-boards.greenhouse.io/togetherai/jobs/5157661007</t>
  </si>
  <si>
    <t>Sep 14-Dec 18 2026; sponsorship not stated</t>
  </si>
  <si>
    <t>University of Texas at Austin</t>
  </si>
  <si>
    <t>Video and Analytics Intern, Baseball</t>
  </si>
  <si>
    <t>Apply →  utaustin.wd1.myworkdayjobs.com/utstudent/job/UT-MAIN-CAMPU</t>
  </si>
  <si>
    <t>Hardware Engineer (Fall Co-op)</t>
  </si>
  <si>
    <t>Apply →  job-boards.greenhouse.io/verkada/jobs/4321159007</t>
  </si>
  <si>
    <t>28</t>
  </si>
  <si>
    <t>Hardware Engineer Intern</t>
  </si>
  <si>
    <t>Apply →  akunacapital.com/careers/job/8018880/?gh_jid=8018880</t>
  </si>
  <si>
    <t>2027 Software Engineer Intern</t>
  </si>
  <si>
    <t>Apply →  boards.greenhouse.io/andurilindustries/jobs/5148079007?gh_</t>
  </si>
  <si>
    <t>Defense; US person requirement likely</t>
  </si>
  <si>
    <t>Arrowstreet Capital</t>
  </si>
  <si>
    <t>Apply →  arrowstreetcapital.wd5.myworkdayjobs.com/Campus_Careers/jo</t>
  </si>
  <si>
    <t>RenderATL - 2027 US Electrical Engineering Internship</t>
  </si>
  <si>
    <t>Apply →  job-boards.greenhouse.io/axontalentcommunity/jobs/78006320</t>
  </si>
  <si>
    <t>RenderATL 2027 US Software Engineering Internship</t>
  </si>
  <si>
    <t>Apply →  applyguy.ai/jobs?company=Axon&amp;job=810af19f-a0e7-4535-8142-</t>
  </si>
  <si>
    <t>Boeing</t>
  </si>
  <si>
    <t>Boeing Summer 2027 Internship Program - Quality Engineering Intern</t>
  </si>
  <si>
    <t>Apply →  boeing.wd1.myworkdayjobs.com/EXTERNAL_CAREERS/job/USA---Se</t>
  </si>
  <si>
    <t>zapply visa col: blank; age 2d; defense/gov - verify US-person rule</t>
  </si>
  <si>
    <t>Powertrain Controls Software Engineering Intern (6-Months)</t>
  </si>
  <si>
    <t>Farmington Hills, MI</t>
  </si>
  <si>
    <t>Apply →  jobs.smartrecruiters.com/BoschGroup/744000140089589-powert</t>
  </si>
  <si>
    <t>6-month term</t>
  </si>
  <si>
    <t>Project Management / Test Engineering Intern</t>
  </si>
  <si>
    <t>Apply →  jobs.smartrecruiters.com/BoschGroup/744000141334799</t>
  </si>
  <si>
    <t>Apply →  cadence.wd1.myworkdayjobs.com/Univ_Careers/job/PITTSBURGH-</t>
  </si>
  <si>
    <t>Software Intern</t>
  </si>
  <si>
    <t>Apply →  cadence.wd1.myworkdayjobs.com/en-US/external_careers/job/S</t>
  </si>
  <si>
    <t>Web Development Intern</t>
  </si>
  <si>
    <t>Apply →  jobs.lever.co/calstart/cbd0d758-18b0-481d-9e67-a065682f30e</t>
  </si>
  <si>
    <t>Commodities Trading Analyst Internship</t>
  </si>
  <si>
    <t>Apply →  osv-cci.wd1.myworkdayjobs.com/en-US/CCICareers/job/Houston</t>
  </si>
  <si>
    <t>Chevron</t>
  </si>
  <si>
    <t>2026-2027 Information Technology - Software Engineer - Intern</t>
  </si>
  <si>
    <t>Apply →  chevron.wd5.myworkdayjobs.com/University/job/Houston-Texas</t>
  </si>
  <si>
    <t>$49K-78K; 2026-2027 cycle</t>
  </si>
  <si>
    <t>Chicago Trading Company</t>
  </si>
  <si>
    <t>Quant Trading Intern</t>
  </si>
  <si>
    <t>Apply →  job-boards.greenhouse.io/ctccampusboard/jobs/4708188005</t>
  </si>
  <si>
    <t>Apply →  job-boards.greenhouse.io/chicagotradingcampus/jobs/4716932</t>
  </si>
  <si>
    <t>Software Engineering Internship</t>
  </si>
  <si>
    <t>Apply →  job-boards.greenhouse.io/ctccampusboard/jobs/4708230005</t>
  </si>
  <si>
    <t>Platform Engineer Intern</t>
  </si>
  <si>
    <t>Apply →  job-boards.greenhouse.io/drweng/jobs/7997729</t>
  </si>
  <si>
    <t>$175K listed</t>
  </si>
  <si>
    <t>Duke Energy</t>
  </si>
  <si>
    <t>Associate IT Software Engineer Intern/ Co-op Conversion 2027</t>
  </si>
  <si>
    <t>Apply →  dukeenergy.wd1.myworkdayjobs.com/nosearch/job/Charlotte-NC</t>
  </si>
  <si>
    <t>GDIT</t>
  </si>
  <si>
    <t>Summer 2027 Software Developer Internship</t>
  </si>
  <si>
    <t>Annapolis Junction, MD</t>
  </si>
  <si>
    <t>Apply →  applyguy.ai/jobs?company=GDIT&amp;job=217eb72e-34e6-4f50-884c-</t>
  </si>
  <si>
    <t>Cleared defense site - verify clearance rules</t>
  </si>
  <si>
    <t>GE Appliances</t>
  </si>
  <si>
    <t>Engineering Co-op Summer 2027</t>
  </si>
  <si>
    <t>LaFayette, GA</t>
  </si>
  <si>
    <t>Apply →  haier.wd3.myworkdayjobs.com/ge_appliances/job/USA-LaFayett</t>
  </si>
  <si>
    <t>Software Engineering Co-op Summer 2027</t>
  </si>
  <si>
    <t>Louisville, KY</t>
  </si>
  <si>
    <t>Apply →  haier.wd3.myworkdayjobs.com/ge_appliances/job/USA-Louisvil</t>
  </si>
  <si>
    <t>Apply →  gdit.wd5.myworkdayjobs.com/external_career_site/job/USA-MD</t>
  </si>
  <si>
    <t>Cleared site - verify clearance rules</t>
  </si>
  <si>
    <t>Haier / GE Appliances</t>
  </si>
  <si>
    <t>Apply →  applyguy.ai/jobs?company=Haier&amp;job=020f5de0-997a-49f5-93b0</t>
  </si>
  <si>
    <t>Hyannis Port Research</t>
  </si>
  <si>
    <t>Needham, MA</t>
  </si>
  <si>
    <t>Apply →  job-boards.greenhouse.io/hyannisportresearch/jobs/78229890</t>
  </si>
  <si>
    <t>$87K listed</t>
  </si>
  <si>
    <t>Apply →  job-boards.eu.greenhouse.io/imc/jobs/4823945101</t>
  </si>
  <si>
    <t>SOC Design Engineering Intern</t>
  </si>
  <si>
    <t>Apply →  intel.wd1.myworkdayjobs.com/External/job/US-Texas-Austin/S</t>
  </si>
  <si>
    <t>John Deere</t>
  </si>
  <si>
    <t>Advanced Engineering Student Intern - Product Engineering</t>
  </si>
  <si>
    <t>Fargo, ND</t>
  </si>
  <si>
    <t>Apply →  johndeere.eightfold.ai/careers/job/137481393611</t>
  </si>
  <si>
    <t>Software Engineer Part-Time Student - Technology</t>
  </si>
  <si>
    <t>Moline, IL</t>
  </si>
  <si>
    <t>Apply →  johndeere.eightfold.ai/careers/job/137480957123</t>
  </si>
  <si>
    <t>Part-time student role</t>
  </si>
  <si>
    <t>Junior</t>
  </si>
  <si>
    <t>Software Engineering Intern - Fall 2026</t>
  </si>
  <si>
    <t>Netsmart Technologies</t>
  </si>
  <si>
    <t>Cloud Engineer Future (Summer 2027)</t>
  </si>
  <si>
    <t>Apply →  applyguy.ai/jobs?company=Ntst&amp;job=b1568b63-dae5-4b2b-a034-</t>
  </si>
  <si>
    <t>Software Engineer Intern (Summer 2027)</t>
  </si>
  <si>
    <t>Apply →  applyguy.ai/jobs?company=Ntst&amp;job=d5226255-62fb-450b-981c-</t>
  </si>
  <si>
    <t>Northrop Grumman</t>
  </si>
  <si>
    <t>2027 Intern Software Engineer</t>
  </si>
  <si>
    <t>Melbourne, FL</t>
  </si>
  <si>
    <t>Apply →  applyguy.ai/jobs?company=Northrop+Grumman&amp;job=6c62a020-14d</t>
  </si>
  <si>
    <t>2027 Returning Intern Software Engineer</t>
  </si>
  <si>
    <t>Apply →  applyguy.ai/jobs?company=Northrop+Grumman&amp;job=d3020003-0db</t>
  </si>
  <si>
    <t>Returning interns only; defense</t>
  </si>
  <si>
    <t>Nosearch</t>
  </si>
  <si>
    <t>Associate IT Software Engineer Intern/Co-op Conversion 2027</t>
  </si>
  <si>
    <t>Apply →  applyguy.ai/jobs?company=Nosearch&amp;job=231c4a0a-5881-496f-8</t>
  </si>
  <si>
    <t>Old Mission Capital</t>
  </si>
  <si>
    <t>Software Engineer - 2027 Internship Program - June Start</t>
  </si>
  <si>
    <t>Apply →  oldmissioncapital.com/careers?gh_jid=7796180003</t>
  </si>
  <si>
    <t>Apply →  optiver.com/join-us/jobs/8641352002/?gh_jid=8641352002</t>
  </si>
  <si>
    <t>OCI Software Engineer Intern - OVIP</t>
  </si>
  <si>
    <t>Apply →  jobright.ai/jobs/info/6a0e5cb3beb4d73cb6231cfc</t>
  </si>
  <si>
    <t>Radix Trading</t>
  </si>
  <si>
    <t>Quantitative Technologist Intern, C++</t>
  </si>
  <si>
    <t>Apply →  job-boards.greenhouse.io/radixuniversity/jobs/8500265002</t>
  </si>
  <si>
    <t>Apply →  jobright.ai/jobs/info/6a2aab7ed3ec8317fe1448c6</t>
  </si>
  <si>
    <t>Winter 2027 cycle; verify still open</t>
  </si>
  <si>
    <t>Software Engineer Intern (Backend)</t>
  </si>
  <si>
    <t>Apply →  jobright.ai/jobs/info/6a2d15adfc0644749054bc60</t>
  </si>
  <si>
    <t>Cedar Rapids, IA</t>
  </si>
  <si>
    <t>Apply →  applyguy.ai/jobs?company=RTX&amp;job=4b859e34-d435-45ae-aa8e-7</t>
  </si>
  <si>
    <t>McKinney, TX</t>
  </si>
  <si>
    <t>Apply →  applyguy.ai/jobs?company=RTX&amp;job=e3dc5add-f764-4da0-9cbc-6</t>
  </si>
  <si>
    <t>Fullerton, CA</t>
  </si>
  <si>
    <t>Apply →  applyguy.ai/jobs?company=RTX&amp;job=3cd9ca2a-be6a-4b77-bc0b-6</t>
  </si>
  <si>
    <t>Apply →  applyguy.ai/jobs?company=RTX&amp;job=916a07db-1c7e-47e4-bcf9-d</t>
  </si>
  <si>
    <t>Anaheim, CA</t>
  </si>
  <si>
    <t>Software Platform Intern (Summer 2027)</t>
  </si>
  <si>
    <t>Aurora, CO</t>
  </si>
  <si>
    <t>Apply →  applyguy.ai/jobs?company=RTX&amp;job=e43a5439-8de1-434e-93ba-d</t>
  </si>
  <si>
    <t>Software Platform Internship (Summer 2027)</t>
  </si>
  <si>
    <t>Apply →  applyguy.ai/jobs?company=RTX&amp;job=49c3abab-438e-4d98-a80c-7</t>
  </si>
  <si>
    <t>Samsara</t>
  </si>
  <si>
    <t>Apply →  samsara.com/company/careers/roles/8082091?gh_jid=8082091</t>
  </si>
  <si>
    <t>Hardware Test &amp; Reliability Intern</t>
  </si>
  <si>
    <t>Apply →  jobs.ashbyhq.com/skydio/d75d4adf-760c-46b6-bb98-3497650a89</t>
  </si>
  <si>
    <t>Apply →  sonyglobal.wd1.myworkdayjobs.com/sonyglobalcareers/job/San</t>
  </si>
  <si>
    <t>Operations Intern</t>
  </si>
  <si>
    <t>Apply →  careers.sig.com/jobs/10916</t>
  </si>
  <si>
    <t>Susquehanna International Group (SIG)</t>
  </si>
  <si>
    <t>Apply →  careers-sig.icims.com/jobs/10626/job?mobile=true&amp;needsRedi</t>
  </si>
  <si>
    <t>T. Rowe Price</t>
  </si>
  <si>
    <t>Global Trading Intern</t>
  </si>
  <si>
    <t>Baltimore, MD</t>
  </si>
  <si>
    <t>Apply →  troweprice.wd5.myworkdayjobs.com/en-US/TRowePrice/job/Balt</t>
  </si>
  <si>
    <t>Network Engineer - Encore Program Intern</t>
  </si>
  <si>
    <t>zapply visa col: H-1B Co.; age 1w</t>
  </si>
  <si>
    <t>The Hartford</t>
  </si>
  <si>
    <t>Tech &amp; Data Program Summer 2027 - Software Engineer Intern</t>
  </si>
  <si>
    <t>Apply →  applyguy.ai/jobs?company=The+Hartford&amp;job=d271d6e4-bbb4-4d</t>
  </si>
  <si>
    <t>2027 North America Software Engineering Internship</t>
  </si>
  <si>
    <t>Apply →  applyguy.ai/jobs?company=The+Trade+Desk&amp;job=da454023-d04b-</t>
  </si>
  <si>
    <t>TransMarket Group</t>
  </si>
  <si>
    <t>DevOps / SRE Intern</t>
  </si>
  <si>
    <t>Chicago, IL; San Juan, PR</t>
  </si>
  <si>
    <t>Apply →  job-boards.greenhouse.io/transmarketgroup/jobs/5151577007</t>
  </si>
  <si>
    <t>Travelers</t>
  </si>
  <si>
    <t>Engineering Development Program Intern</t>
  </si>
  <si>
    <t>Hartford, CT; Sparks, MD (+5)</t>
  </si>
  <si>
    <t>Apply →  travelers.wd5.myworkdayjobs.com/External/job/CT---Hartford</t>
  </si>
  <si>
    <t>Apply →  university-uber.icims.com/jobs/159161/job?mobile=false&amp;wid</t>
  </si>
  <si>
    <t>Off-season/co-op listing</t>
  </si>
  <si>
    <t>Software Development Internship - Summer 2027</t>
  </si>
  <si>
    <t>Apply →  applyguy.ai/jobs?company=Uline&amp;job=402c63c2-dd0b-4036-9bb6</t>
  </si>
  <si>
    <t>Embedded Software Engineer Intern</t>
  </si>
  <si>
    <t>Apply →  job-boards.greenhouse.io/verkada/jobs/5099596007</t>
  </si>
  <si>
    <t>2027 Internship - Hardware Engineer (FPGA)</t>
  </si>
  <si>
    <t>Apply →  job-boards.greenhouse.io/virtu/jobs/8657286002</t>
  </si>
  <si>
    <t>Apply →  voloridge-investment-management.hiringthing.com/job/101312</t>
  </si>
  <si>
    <t>Equity Volatility Quant Researcher Intern</t>
  </si>
  <si>
    <t>Quant Developer Intern</t>
  </si>
  <si>
    <t>Hardware Engineering Intern</t>
  </si>
  <si>
    <t>Apply →  jobs.smartrecruiters.com/WesternDigital/744000140949875</t>
  </si>
  <si>
    <t>Software Engineering Co-op</t>
  </si>
  <si>
    <t>Rochester, MN</t>
  </si>
  <si>
    <t>Apply →  jobs.smartrecruiters.com/WesternDigital/744000138184309</t>
  </si>
  <si>
    <t>Summer 2027 Intern - Hardware Engineering</t>
  </si>
  <si>
    <t>Apply →  jobs.smartrecruiters.com/WesternDigital/744000140949875-su</t>
  </si>
  <si>
    <t>$71K-98K</t>
  </si>
  <si>
    <t>Zendesk</t>
  </si>
  <si>
    <t>Apply →  zendesk.wd1.myworkdayjobs.com/zendesk/job/Austin-Texas-Uni</t>
  </si>
  <si>
    <t>27</t>
  </si>
  <si>
    <t>Southfield, MI</t>
  </si>
  <si>
    <t>Apply →  jobs.smartrecruiters.com/BoschGroup/744000140457960</t>
  </si>
  <si>
    <t>Centerfield</t>
  </si>
  <si>
    <t>Apply →  jobs.ashbyhq.com/centerfield/92a124aa-9efd-4dbd-90f1-6319b</t>
  </si>
  <si>
    <t>2026-06-12</t>
  </si>
  <si>
    <t>Marketing Programs and Analytics Intern</t>
  </si>
  <si>
    <t>Apply →  boards.greenhouse.io/cloudflare/jobs/8104138</t>
  </si>
  <si>
    <t>Disney</t>
  </si>
  <si>
    <t>Commercial Data Science Intern, Fall 2026</t>
  </si>
  <si>
    <t>Lake Buena Vista, FL</t>
  </si>
  <si>
    <t>Apply →  disney.wd5.myworkdayjobs.com/disneycareer/job/Lake-Buena-V</t>
  </si>
  <si>
    <t>Ether.fi</t>
  </si>
  <si>
    <t>GTM Engineer Intern</t>
  </si>
  <si>
    <t>Denver, CO; New York, NY</t>
  </si>
  <si>
    <t>Apply →  jobs.ashbyhq.com/ether.fi/6dcb712c-8fe5-4725-ad6a-0e9771af</t>
  </si>
  <si>
    <t>Moog</t>
  </si>
  <si>
    <t>Intern, Engineering</t>
  </si>
  <si>
    <t>Buffalo, NY</t>
  </si>
  <si>
    <t>Apply →  moog.wd5.myworkdayjobs.com/moog_external_career_site/job/B</t>
  </si>
  <si>
    <t>Intern, Software Engineering</t>
  </si>
  <si>
    <t>Naver U.Hub</t>
  </si>
  <si>
    <t>ThingsBook Product Management Intern</t>
  </si>
  <si>
    <t>Redwood City, CA</t>
  </si>
  <si>
    <t>Apply →  naveruhubinc.applytojob.com/apply/snw35vU7eX/ThingsBook-Pr</t>
  </si>
  <si>
    <t>Quadrillion Labs</t>
  </si>
  <si>
    <t>ResMed</t>
  </si>
  <si>
    <t>Technical Product Manager Intern</t>
  </si>
  <si>
    <t>Duluth, GA; Atlanta, GA</t>
  </si>
  <si>
    <t>Apply →  resmed.wd3.myworkdayjobs.com/en-US/ResMed_External_Careers</t>
  </si>
  <si>
    <t>Technical PM role</t>
  </si>
  <si>
    <t>Product Development Co-op - Shark</t>
  </si>
  <si>
    <t>Apply →  job-boards.greenhouse.io/sharkninjaoperatingllc/jobs/46464</t>
  </si>
  <si>
    <t>2026-01-21</t>
  </si>
  <si>
    <t>Signify</t>
  </si>
  <si>
    <t>Product Management Intern - Fall 2026</t>
  </si>
  <si>
    <t>Apply →  lighting.wd3.myworkdayjobs.com/jobs-and-careers/job/Menlo-</t>
  </si>
  <si>
    <t>StudyFetch</t>
  </si>
  <si>
    <t>Beverly Hills, CA</t>
  </si>
  <si>
    <t>Apply →  ats.rippling.com/studyfetch/jobs/45f16361-69b0-4e74-8cc3-d</t>
  </si>
  <si>
    <t>Analytics Internship: Fall 2026</t>
  </si>
  <si>
    <t>Apply →  careers-sig.icims.com/jobs/11099/analytics-internship%3a-f</t>
  </si>
  <si>
    <t>Thornton Tomasetti</t>
  </si>
  <si>
    <t>Mechanical Engineer Co-op</t>
  </si>
  <si>
    <t>Apply →  tt.wd503.myworkdayjobs.com/thorntontomasetti/job/New-York-</t>
  </si>
  <si>
    <t>26</t>
  </si>
  <si>
    <t>FOX</t>
  </si>
  <si>
    <t>Fall 2026 FOX News Media Internship Program - Data Analytics</t>
  </si>
  <si>
    <t>Apply →  fox.wd1.myworkdayjobs.com/Domestic/job/New-York-New-York-U</t>
  </si>
  <si>
    <t>Co-Op - Software Product Management</t>
  </si>
  <si>
    <t>Apply →  job-boards.greenhouse.io/lilasciences/jobs/4286512009</t>
  </si>
  <si>
    <t>The Boeing Company</t>
  </si>
  <si>
    <t>Data Analytics Intern</t>
  </si>
  <si>
    <t>Everett, WA; Seattle, WA; Ridley Park, PA (30 locations)</t>
  </si>
  <si>
    <t>Apply →  boeing.wd1.myworkdayjobs.com/INTERN/job/USA---Everett-WA/B</t>
  </si>
  <si>
    <t>Business Intelligence Developer Intern</t>
  </si>
  <si>
    <t>Pleasant Prairie, WI; Waukegan, IL; Milwaukee, WI</t>
  </si>
  <si>
    <t>Database Administrator Intern</t>
  </si>
  <si>
    <t>Financial Data Analyst Intern</t>
  </si>
  <si>
    <t>Financial Data Analyst Internship - Summer 2027</t>
  </si>
  <si>
    <t>25</t>
  </si>
  <si>
    <t>Altom Transport</t>
  </si>
  <si>
    <t>Markham, IL</t>
  </si>
  <si>
    <t>Apply →  apply.workable.com/altom-transport/j/9FC654F05E/apply</t>
  </si>
  <si>
    <t>ASM</t>
  </si>
  <si>
    <t>Manufacturing Engineering Intern (Spring 2027)</t>
  </si>
  <si>
    <t>Apply →  asm.com/open-vacancies/?gh_jid=4830098101</t>
  </si>
  <si>
    <t>Mechanical Engineering Intern (Spring 2027)</t>
  </si>
  <si>
    <t>Apply →  asm.com/open-vacancies/?gh_jid=4830929101</t>
  </si>
  <si>
    <t>Apply →  asm.com/open-vacancies/software-engineering-intern-spring-</t>
  </si>
  <si>
    <t>Software Engineering Intern - Spring 2027</t>
  </si>
  <si>
    <t>Apply →  asm.com/open-vacancies/?gh_jid=4830113101</t>
  </si>
  <si>
    <t>Astranis</t>
  </si>
  <si>
    <t>Software Engineer Intern - Enterprise Systems</t>
  </si>
  <si>
    <t>Apply →  job-boards.greenhouse.io/astranis/jobs/4699071006</t>
  </si>
  <si>
    <t>Atomic Semi</t>
  </si>
  <si>
    <t>Automation Software Engineering Intern - Fall</t>
  </si>
  <si>
    <t>Apply →  jobs.ashbyhq.com/atomicsemi/615feebf-d9e3-4583-9c85-ba16af</t>
  </si>
  <si>
    <t>2026-05-03</t>
  </si>
  <si>
    <t>Fab Software Engineering Intern - Fall</t>
  </si>
  <si>
    <t>Apply →  jobs.ashbyhq.com/atomicsemi/947338ca-e135-4398-9aa3-79e131</t>
  </si>
  <si>
    <t>2026-05-02</t>
  </si>
  <si>
    <t>Infrastructure Software Engineering Intern - Fall</t>
  </si>
  <si>
    <t>Apply →  jobs.ashbyhq.com/atomicsemi/867c67f7-20b5-4726-b9da-85a760</t>
  </si>
  <si>
    <t>2026-05-25</t>
  </si>
  <si>
    <t>Rust Software Engineering Intern - Fall</t>
  </si>
  <si>
    <t>Apply →  jobs.ashbyhq.com/atomicsemi/009d0819-c688-4ab9-8816-a3c7ab</t>
  </si>
  <si>
    <t>Beacon Software</t>
  </si>
  <si>
    <t>Apply →  jobs.ashbyhq.com/beaconsoftware/2452d342-a069-4eda-adbe-9d</t>
  </si>
  <si>
    <t>Composio</t>
  </si>
  <si>
    <t>Full-stack Intern</t>
  </si>
  <si>
    <t>Apply →  jobs.ashbyhq.com/composio/4d819015-0b9a-466f-9b41-8e1cc1e5</t>
  </si>
  <si>
    <t>Copart</t>
  </si>
  <si>
    <t>Apply →  copart.wd12.myworkdayjobs.com/copart/job/Dallas-TX---Headq</t>
  </si>
  <si>
    <t>DensityAI</t>
  </si>
  <si>
    <t>Technical Intern- Software - Fall 2026</t>
  </si>
  <si>
    <t>Apply →  job-boards.greenhouse.io/densityai/jobs/4336452009</t>
  </si>
  <si>
    <t>Dexmate</t>
  </si>
  <si>
    <t>Frontend Engineer Intern</t>
  </si>
  <si>
    <t>Apply →  jobs.ashbyhq.com/dexmate/eac26b6f-1a53-441f-8e52-ee0a0b1bc</t>
  </si>
  <si>
    <t>Ditto</t>
  </si>
  <si>
    <t>Ditto Intern Program</t>
  </si>
  <si>
    <t>Apply →  jobs.ashbyhq.com/ditto/cbece35a-bb1a-4c93-a866-510279b8756</t>
  </si>
  <si>
    <t>DMA</t>
  </si>
  <si>
    <t>Software Development Intern - Fall 2026</t>
  </si>
  <si>
    <t>Fort Wayne, IN</t>
  </si>
  <si>
    <t>Apply →  dmainc.wd5.myworkdayjobs.com/en-US/dma/job/Fort-Wayne-IN/S</t>
  </si>
  <si>
    <t>2026-05-29</t>
  </si>
  <si>
    <t>Fab2</t>
  </si>
  <si>
    <t>Automation Software Engineer Intern</t>
  </si>
  <si>
    <t>Apply →  jobs.ashbyhq.com/fab2/615feebf-d9e3-4583-9c85-ba16af44e65c</t>
  </si>
  <si>
    <t>Apply →  jobs.ashbyhq.com/fab2/947338ca-e135-4398-9aa3-79e131bc03d5</t>
  </si>
  <si>
    <t>Firetiger</t>
  </si>
  <si>
    <t>Product Engineer Intern/Co-op</t>
  </si>
  <si>
    <t>Apply →  jobs.ashbyhq.com/firetiger/7acf0768-f10d-4650-bcfc-12ed6e5</t>
  </si>
  <si>
    <t>First Bank &amp; Trust</t>
  </si>
  <si>
    <t>SharePoint/Power Platform Intern</t>
  </si>
  <si>
    <t>Brookings, SD</t>
  </si>
  <si>
    <t>Apply →  bankeasy.wd5.myworkdayjobs.com/bank-easy-job-openings/job/</t>
  </si>
  <si>
    <t>Fluency</t>
  </si>
  <si>
    <t>Apply →  jobs.ashbyhq.com/fluency/2aced4e2-485b-4525-802c-763e62c91</t>
  </si>
  <si>
    <t>Social Media Engineering Intern (Fall 2026)</t>
  </si>
  <si>
    <t>Apply →  careers.formlabs.com/job/8108754/apply/?gh_jid=8108754</t>
  </si>
  <si>
    <t>zapply visa col: Sponsor; age 11h</t>
  </si>
  <si>
    <t>Digital Technology Spring 2027 Intern</t>
  </si>
  <si>
    <t>Apply →  haier.wd3.myworkdayjobs.com/GE_Appliances/job/USA-Louisvil</t>
  </si>
  <si>
    <t>Gulf Management</t>
  </si>
  <si>
    <t>Software Engineer &amp; Business Systems Intern</t>
  </si>
  <si>
    <t>Covington, LA</t>
  </si>
  <si>
    <t>Apply →  gulfmanagement.applytojob.com/apply/pnJkrOYga9/Software-En</t>
  </si>
  <si>
    <t>Gumloop</t>
  </si>
  <si>
    <t>Design Engineer Intern</t>
  </si>
  <si>
    <t>Apply →  jobs.ashbyhq.com/Gumloop/dcdc0658-b3fd-44cd-b0cf-4016c9513</t>
  </si>
  <si>
    <t>Hermeus</t>
  </si>
  <si>
    <t>Avionics Electrical Engineering Intern - Fall 2026</t>
  </si>
  <si>
    <t>Apply →  jobs.lever.co/hermeus/3cee58bc-55ef-4230-acf2-9a2e2851cf43</t>
  </si>
  <si>
    <t>Flight Software Engineering Intern - Fall 2026</t>
  </si>
  <si>
    <t>Apply →  jobs.lever.co/hermeus/51378fa0-0327-45fd-9420-b6e7d8b56440</t>
  </si>
  <si>
    <t>GNC Engineering Intern (Controls) - Fall 2026</t>
  </si>
  <si>
    <t>Apply →  jobs.lever.co/hermeus/751c9919-5b19-4609-80ff-ca82d6947e07</t>
  </si>
  <si>
    <t>Mission Systems Platform Intern - Fall 2026</t>
  </si>
  <si>
    <t>Apply →  jobs.lever.co/hermeus/86fd77a9-6498-43df-bfe0-2159aa6933db</t>
  </si>
  <si>
    <t>Software Engineering Intern (Command &amp; Control) - Fall 2026</t>
  </si>
  <si>
    <t>Apply →  jobs.lever.co/hermeus/a3a1f0ea-6a4f-42e5-81c8-3b34dac22a67</t>
  </si>
  <si>
    <t>Subsystem Test Engineering Intern - Fall 2026</t>
  </si>
  <si>
    <t>Apply →  jobs.lever.co/hermeus/3ee3f243-bab8-4bdb-b0d0-2214874ef49e</t>
  </si>
  <si>
    <t>Engineering Intern - Program</t>
  </si>
  <si>
    <t>Apply →  jobs.ashbyhq.com/k-id/18619df2-45d8-4732-8815-9a340d498d48</t>
  </si>
  <si>
    <t>Kognitos</t>
  </si>
  <si>
    <t>Apply →  jobs.ashbyhq.com/Kognitos/a4bc3ebf-b619-4c1b-9c9e-784d16c8</t>
  </si>
  <si>
    <t>Mach Industries</t>
  </si>
  <si>
    <t>Fall 2026 Engineering Internship</t>
  </si>
  <si>
    <t>Huntington Beach, CA</t>
  </si>
  <si>
    <t>Apply →  jobs.ashbyhq.com/mach/021b2c1d-5257-4dea-b06d-0c445de44d28</t>
  </si>
  <si>
    <t>zapply visa col: Sponsor; age 3w</t>
  </si>
  <si>
    <t>Markem-Imaje</t>
  </si>
  <si>
    <t>Keene, NH</t>
  </si>
  <si>
    <t>Apply →  careers.dovercorporation.com/job/Keene-Software-Engineer-I</t>
  </si>
  <si>
    <t>Microchip Technology</t>
  </si>
  <si>
    <t>Engineering Intern - Software Development</t>
  </si>
  <si>
    <t>Apply →  wd5.myworkdaysite.com/recruiting/microchiphr/External/job/</t>
  </si>
  <si>
    <t>Mindsmith</t>
  </si>
  <si>
    <t>Apply →  app.dover.com/apply/mindsmith/e0ca8149-6811-4de9-ba38-65a0</t>
  </si>
  <si>
    <t>Mobius Renewables</t>
  </si>
  <si>
    <t>Apply →  ats.rippling.com/greengas/jobs/b2938290-cc66-4f54-9888-bbe</t>
  </si>
  <si>
    <t>Software and Data Infrastructure Intern</t>
  </si>
  <si>
    <t>Apply →  nrel.wd5.myworkdayjobs.com/NLR/job/Golden-CO/Undergraduate</t>
  </si>
  <si>
    <t>NeoSigma</t>
  </si>
  <si>
    <t>Member of Technical Staff Intern</t>
  </si>
  <si>
    <t>Apply →  ats.rippling.com/neosigma/jobs/a2ee1d26-a551-45d2-9854-6db</t>
  </si>
  <si>
    <t>Novanta</t>
  </si>
  <si>
    <t>Engineering Co-op</t>
  </si>
  <si>
    <t>Apex, NC</t>
  </si>
  <si>
    <t>Apply →  novanta.wd5.myworkdayjobs.com/Novanta-Careers/job/Apex-NC/</t>
  </si>
  <si>
    <t>Apply →  jobs.ashbyhq.com/persona.ai/6078fafd-ba34-4c89-b260-7eb15b</t>
  </si>
  <si>
    <t>Apply →  jobs.ashbyhq.com/phonely/c83696cb-ca3a-4a9d-9e87-bfcf4f79f</t>
  </si>
  <si>
    <t>Redwood Materials</t>
  </si>
  <si>
    <t>Test Automation Engineer Intern - Fall 2026</t>
  </si>
  <si>
    <t>Apply →  boards.greenhouse.io/redwoodmaterials/jobs/6126785004?gh_j</t>
  </si>
  <si>
    <t>Rendezvous Robotics</t>
  </si>
  <si>
    <t>Apply →  job-boards.greenhouse.io/rendezvousrobotics/jobs/432855500</t>
  </si>
  <si>
    <t>RIB Software</t>
  </si>
  <si>
    <t>Alpharetta, GA</t>
  </si>
  <si>
    <t>Apply →  aveva.wd3.myworkdayjobs.com/RIB_Careers/job/Alpharetta-Geo</t>
  </si>
  <si>
    <t>Android Developer Intern</t>
  </si>
  <si>
    <t>Apply →  jobs.ashbyhq.com/rivianvw.tech/5633bb03-cc16-47fc-af02-db9</t>
  </si>
  <si>
    <t>Electromechanical Design Engineering Intern (Fall 2026)</t>
  </si>
  <si>
    <t>Apply →  jobs.ashbyhq.com/rivianvw.tech/14734be2-9c81-4aab-bfa6-7db</t>
  </si>
  <si>
    <t>Software Engineer Intern - Applications</t>
  </si>
  <si>
    <t>Palo Alto, CA; Irvine, CA</t>
  </si>
  <si>
    <t>Software Engineer Intern - Connected Systems</t>
  </si>
  <si>
    <t>Software Engineering Intern - Vehicle Controls</t>
  </si>
  <si>
    <t>Irvine, CA; Palo Alto, CA</t>
  </si>
  <si>
    <t>Apply →  jobs.ashbyhq.com/rivianvw.tech/89feb2fe-c28c-4dad-846f-095</t>
  </si>
  <si>
    <t>Vehicle controls</t>
  </si>
  <si>
    <t>Roam</t>
  </si>
  <si>
    <t>Apply →  jobs.ashbyhq.com/tryroam/59b76a77-44e5-424b-a3d5-71edf0918</t>
  </si>
  <si>
    <t>Sandhills Global</t>
  </si>
  <si>
    <t>Apply →  sandhills.com/careers-and-internships/details/careers/sand</t>
  </si>
  <si>
    <t>Shield AI</t>
  </si>
  <si>
    <t>Electrical Engineering Spring Co-op (Spring 2027)</t>
  </si>
  <si>
    <t>Apply →  jobs.lever.co/shieldai/87d982f2-8b2b-4c73-9a19-71e461c7b72</t>
  </si>
  <si>
    <t>zapply visa col: Sponsor; age 3mo; defense/gov - verify US-person rule</t>
  </si>
  <si>
    <t>SoloPulse</t>
  </si>
  <si>
    <t>Software Engineer Intern/Co-op</t>
  </si>
  <si>
    <t>Norcross, GA</t>
  </si>
  <si>
    <t>Apply →  jobs.lever.co/solopulseco/00fbde18-a387-4c9f-97d4-77059aec</t>
  </si>
  <si>
    <t>Software Engineer Intern/Co-Op - Fall 2026</t>
  </si>
  <si>
    <t>Peachtree Corners, GA</t>
  </si>
  <si>
    <t>2026-06-16</t>
  </si>
  <si>
    <t>Mobile Software Engineer Intern - Flagship Apps - iOS / Android / Web</t>
  </si>
  <si>
    <t>Apply →  ats.rippling.com/spreeai/jobs/c52472cb-2671-45d7-b666-1719</t>
  </si>
  <si>
    <t>Apply →  ats.rippling.com/spreeai/jobs/d34aed29-7a11-4e37-b5bc-e931</t>
  </si>
  <si>
    <t>Drexel University Co-op - Software Engineering/Full stack development</t>
  </si>
  <si>
    <t>Apply →  careers-sri.icims.com/jobs/6432/job?mobile=true&amp;needsRedir</t>
  </si>
  <si>
    <t>Synchrony</t>
  </si>
  <si>
    <t>Software Engineer Intern - Fall 2026</t>
  </si>
  <si>
    <t>Canton, OH</t>
  </si>
  <si>
    <t>Apply →  synchronyfinancial.wd5.myworkdayjobs.com/University/job/Ca</t>
  </si>
  <si>
    <t>Synchrony Financial</t>
  </si>
  <si>
    <t>Digital Technology Center Intern</t>
  </si>
  <si>
    <t>Stamford, CT</t>
  </si>
  <si>
    <t>Apply →  synchronyfinancial.wd5.myworkdayjobs.com/University/job/St</t>
  </si>
  <si>
    <t>UConn Stamford program</t>
  </si>
  <si>
    <t>TD Bank</t>
  </si>
  <si>
    <t>2026 Fall Co-op - Global Technology Solutions - Software Engineer (SWE)</t>
  </si>
  <si>
    <t>Mount Laurel, NJ</t>
  </si>
  <si>
    <t>Apply →  td.wd3.myworkdayjobs.com/en-US/td_bank_careers/job/Mount-L</t>
  </si>
  <si>
    <t>Vanderlande Industries</t>
  </si>
  <si>
    <t>Marietta, GA</t>
  </si>
  <si>
    <t>Apply →  vanderlande.wd3.myworkdayjobs.com/careers/job/Marietta-GA-</t>
  </si>
  <si>
    <t>Varda Space</t>
  </si>
  <si>
    <t>Mechanical Engineering Internship - Fall 2026</t>
  </si>
  <si>
    <t>Apply →  job-boards.greenhouse.io/vardaspace/jobs/7670782003</t>
  </si>
  <si>
    <t>zapply visa col: Sponsor; age 4mo; defense/gov - verify US-person rule</t>
  </si>
  <si>
    <t>VAST</t>
  </si>
  <si>
    <t>2026 Fall Internship - Supplier Quality &amp; Engineering</t>
  </si>
  <si>
    <t>Long Beach, CA</t>
  </si>
  <si>
    <t>Apply →  boards.greenhouse.io/vast/jobs/4691428006?gh_jid=469142800</t>
  </si>
  <si>
    <t>zapply visa col: H-1B Co.; age 1mo; defense/gov - verify US-person rule</t>
  </si>
  <si>
    <t>Vertex Pharmaceuticals</t>
  </si>
  <si>
    <t>Vertex Fall Co-op 2026, Lab Systems Engineering</t>
  </si>
  <si>
    <t>Apply →  vrtx.wd501.myworkdayjobs.com/vertex_careers/job/Boston-MA/</t>
  </si>
  <si>
    <t>Vital Lyfe</t>
  </si>
  <si>
    <t>Carson, CA</t>
  </si>
  <si>
    <t>Apply →  jobs.ashbyhq.com/vital-lyfe/43a79d8f-a8bb-4c57-a411-1bac94</t>
  </si>
  <si>
    <t>Waystar</t>
  </si>
  <si>
    <t>Application Engineer Co-op</t>
  </si>
  <si>
    <t>Apply →  waystar.wd1.myworkdayjobs.com/Waystar/job/Lehi-UT/Applicat</t>
  </si>
  <si>
    <t>Apply →  waystar.wd1.myworkdayjobs.com/Waystar/job/Atlanta-GA/Appli</t>
  </si>
  <si>
    <t>Electrical Engineering Co-op - Fall 2026</t>
  </si>
  <si>
    <t>Water Resources Engineering Intern - Spring 2027</t>
  </si>
  <si>
    <t>Lawrenceville, NJ</t>
  </si>
  <si>
    <t>zapply visa col: H-1B Co.; age 1d</t>
  </si>
  <si>
    <t>Enterprise Systems Software Engineer Intern</t>
  </si>
  <si>
    <t>Apply →  zipline.com/careers?gh_jid=7767667003#open-roles</t>
  </si>
  <si>
    <t>Enterprise Systems Software Engineer Intern - Fall 2026</t>
  </si>
  <si>
    <t>Apply →  zipline.com/open-roles?gh_jid=7767667003</t>
  </si>
  <si>
    <t>Software Systems Validation Intern - Fall 2026</t>
  </si>
  <si>
    <t>Apply →  zipline.com/open-roles?gh_jid=7780103003</t>
  </si>
  <si>
    <t>24</t>
  </si>
  <si>
    <t>CrowdStrike</t>
  </si>
  <si>
    <t>Intelligence Intern - Fall 2026 (Remote)</t>
  </si>
  <si>
    <t>Apply →  crowdstrike.wd5.myworkdayjobs.com/crowdstrikecareers/job/U</t>
  </si>
  <si>
    <t>DL Trading</t>
  </si>
  <si>
    <t>Quantitative Developer Internship - 2027</t>
  </si>
  <si>
    <t>Apply →  dltrading.io/careers?gh_jid=7814660003</t>
  </si>
  <si>
    <t>Listed as confidential sports trading firm</t>
  </si>
  <si>
    <t>Quantitative Trading Analyst Intern</t>
  </si>
  <si>
    <t>Apply →  drw.com/work-at-drw/listings/quantitative-trading-analyst-</t>
  </si>
  <si>
    <t>Apply →  job-boards.greenhouse.io/drweng/jobs/7992936</t>
  </si>
  <si>
    <t>Trading firm</t>
  </si>
  <si>
    <t>DV Trading</t>
  </si>
  <si>
    <t>Quantitative Risk Intern - Summer 2027</t>
  </si>
  <si>
    <t>Apply →  job-boards.greenhouse.io/dvtrading/jobs/4719118005</t>
  </si>
  <si>
    <t>Engineering Excellence Intern</t>
  </si>
  <si>
    <t>HPR (Hyannis Port Research)</t>
  </si>
  <si>
    <t>Apply →  job-boards.greenhouse.io/hyannisportresearch/jobs/78228010</t>
  </si>
  <si>
    <t>Trading infrastructure</t>
  </si>
  <si>
    <t>Apply →  applyguy.ai/jobs?company=HPR&amp;job=1f5fd872-b1ba-4de4-b446-4</t>
  </si>
  <si>
    <t>Trading infrastructure firm</t>
  </si>
  <si>
    <t>Northwestern Mutual</t>
  </si>
  <si>
    <t>Investment Analyst Intern - Private Debt &amp; Equity, Summer 2027</t>
  </si>
  <si>
    <t>Milwaukee, WI</t>
  </si>
  <si>
    <t>Apply →  northwesternmutual.wd5.myworkdayjobs.com/corporate-careers</t>
  </si>
  <si>
    <t>Software Engineer - 2027 Internship Program (June Start)</t>
  </si>
  <si>
    <t>Apply →  applyguy.ai/jobs?company=Old+Mission&amp;job=dd63a0a1-0487-4f3</t>
  </si>
  <si>
    <t>Institutional Trader Intern</t>
  </si>
  <si>
    <t>Apply →  job-boards.greenhouse.io/optiverprivate/jobs/8402208002</t>
  </si>
  <si>
    <t>Austin, TX; Chicago, IL (+1)</t>
  </si>
  <si>
    <t>Apply →  optiver.com/join-us/jobs/8402215002/?gh_jid=8402215002</t>
  </si>
  <si>
    <t>Ryder System</t>
  </si>
  <si>
    <t>Integration IT Developer Intern - Remote</t>
  </si>
  <si>
    <t>Apply →  ryder.wd5.myworkdayjobs.com/RyderCareers/job/USA---Miami-F</t>
  </si>
  <si>
    <t>Remote; Miami-based</t>
  </si>
  <si>
    <t>2027 Quantitative Equity Investing Internship Program</t>
  </si>
  <si>
    <t>Apply →  troweprice.wd5.myworkdayjobs.com/TRowePrice/job/Baltimore-</t>
  </si>
  <si>
    <t>Apply →  job-boards.greenhouse.io/transmarketgroup/jobs/5151569007</t>
  </si>
  <si>
    <t>University of Virginia Investment Management Company</t>
  </si>
  <si>
    <t>Investment Analyst Intern</t>
  </si>
  <si>
    <t>Charlottesville, VA</t>
  </si>
  <si>
    <t>Apply →  job-boards.greenhouse.io/uvimco/jobs/5300713008</t>
  </si>
  <si>
    <t>VetsEZ</t>
  </si>
  <si>
    <t>Full Stack Developer Intern</t>
  </si>
  <si>
    <t>Apply →  vetsez.breezy.hr/p/a4010fdb3a7001-full-stack-developer-int</t>
  </si>
  <si>
    <t>VA/federal contractor; verify citizenship rules</t>
  </si>
  <si>
    <t>Quantitative Researcher Internship</t>
  </si>
  <si>
    <t>Apply →  job-boards.greenhouse.io/virtu/jobs/8624424002</t>
  </si>
  <si>
    <t>23</t>
  </si>
  <si>
    <t>Arine</t>
  </si>
  <si>
    <t>Full Stack Engineering Summer Intern</t>
  </si>
  <si>
    <t>Apply →  job-boards.greenhouse.io/arine/jobs/6026856004</t>
  </si>
  <si>
    <t>Apply →  jobs.ashbyhq.com/auctor/9d67c881-3ca7-4616-a059-e94c03e196</t>
  </si>
  <si>
    <t>Binance</t>
  </si>
  <si>
    <t>Apply →  jobs.ashbyhq.com/binance.us/c23e9aa3-0daa-4170-a5a7-b03aaa</t>
  </si>
  <si>
    <t>Carrier Global</t>
  </si>
  <si>
    <t>Engineering Intern - Jumpstart Program</t>
  </si>
  <si>
    <t>East Syracuse, NY</t>
  </si>
  <si>
    <t>Apply →  carrier.wd5.myworkdayjobs.com/jobs/job/CANHQ-CCS-HQ---Syra</t>
  </si>
  <si>
    <t>zapply visa col: blank; age 1w</t>
  </si>
  <si>
    <t>Apply →  centific.wd1.myworkdayjobs.com/Centific_Global/job/Remote-</t>
  </si>
  <si>
    <t>Cisive</t>
  </si>
  <si>
    <t>Apply →  cisive.wd108.myworkdayjobs.com/Cisive/job/Remote---Marylan</t>
  </si>
  <si>
    <t>Constant Contact</t>
  </si>
  <si>
    <t>Software Engineer Co-op</t>
  </si>
  <si>
    <t>Apply →  job-boards.greenhouse.io/constantcontact/jobs/7862452</t>
  </si>
  <si>
    <t>Mobile iOS Developer Intern</t>
  </si>
  <si>
    <t>Apply →  job-boards.greenhouse.io/eulerity/jobs/4671025006</t>
  </si>
  <si>
    <t>Grid Automation &amp; Software Intern</t>
  </si>
  <si>
    <t>Apply →  gevernova.wd5.myworkdayjobs.com/en-US/only_confidential_ex</t>
  </si>
  <si>
    <t>2026-07-12</t>
  </si>
  <si>
    <t>Hyperledger Foundation</t>
  </si>
  <si>
    <t>Hyperledger Mentorship Program</t>
  </si>
  <si>
    <t>Apply →  wiki.hyperledger.org/display/INTERN/Hyperledger+Mentorship</t>
  </si>
  <si>
    <t>Multiple batches per year</t>
  </si>
  <si>
    <t>Igalia</t>
  </si>
  <si>
    <t>Igalia Coding Experience</t>
  </si>
  <si>
    <t>Apply →  igalia.com/coding-experience/</t>
  </si>
  <si>
    <t>Yearly open-source grant program</t>
  </si>
  <si>
    <t>iHerb</t>
  </si>
  <si>
    <t>Apply →  job-boards.greenhouse.io/iherb/jobs/7776154003</t>
  </si>
  <si>
    <t>Remote; repo marks company as visa sponsor</t>
  </si>
  <si>
    <t>Jabil</t>
  </si>
  <si>
    <t>Apply →  jabil.wd5.myworkdayjobs.com/Jabil_Careers/job/Remote---USA</t>
  </si>
  <si>
    <t>Jonas Software</t>
  </si>
  <si>
    <t>Apply →  talentmanagementsolution.wd3.myworkdayjobs.com/JonasSoftwa</t>
  </si>
  <si>
    <t>Latent Defense</t>
  </si>
  <si>
    <t>Apply →  jobs.ashbyhq.com/latent%20defense/54841e7d-d80a-4c2f-8c44-</t>
  </si>
  <si>
    <t>2026-05-18</t>
  </si>
  <si>
    <t>defense startup - US person likely req</t>
  </si>
  <si>
    <t>Linux Foundation</t>
  </si>
  <si>
    <t>LFX Mentorship</t>
  </si>
  <si>
    <t>Apply →  lfx.linuxfoundation.org/tools/mentorship/</t>
  </si>
  <si>
    <t>Multiple batches per year; stipend</t>
  </si>
  <si>
    <t>Major League Hacking</t>
  </si>
  <si>
    <t>MLH Fellowship</t>
  </si>
  <si>
    <t>Apply →  fellowship.mlh.io/</t>
  </si>
  <si>
    <t>Rolling cohorts; remote open-source fellowship</t>
  </si>
  <si>
    <t>Intern, Electrical Engineering</t>
  </si>
  <si>
    <t>zapply visa col: blank; age 4m</t>
  </si>
  <si>
    <t>Netwrix</t>
  </si>
  <si>
    <t>Documentation Technology Intern</t>
  </si>
  <si>
    <t>Apply →  ats.rippling.com/netwrix-corporation/jobs/dbe87309-bf9f-4c</t>
  </si>
  <si>
    <t>Open Mainframe Project</t>
  </si>
  <si>
    <t>Open Mainframe Mentorship</t>
  </si>
  <si>
    <t>Apply →  openmainframeproject.org/community/mentorship-program/</t>
  </si>
  <si>
    <t>Outreachy</t>
  </si>
  <si>
    <t>Outreachy Internship</t>
  </si>
  <si>
    <t>Apply →  outreachy.org/</t>
  </si>
  <si>
    <t>Paid remote open-source internship; two cohorts/yr</t>
  </si>
  <si>
    <t>Defense tech; verify US-person rule</t>
  </si>
  <si>
    <t>Stantec</t>
  </si>
  <si>
    <t>Structural Engineering Intern/Co-op - Construction Administration</t>
  </si>
  <si>
    <t>Apply →  hdhl.fa.us6.oraclecloud.com/hcmUI/CandidateExperience/en/s</t>
  </si>
  <si>
    <t>Tessera Labs</t>
  </si>
  <si>
    <t>Software Engineering Intern, Frontend</t>
  </si>
  <si>
    <t>Apply →  jobs.ashbyhq.com/tessera-labs/c0350717-8b4d-4a1a-af00-4c62</t>
  </si>
  <si>
    <t>Virtu</t>
  </si>
  <si>
    <t>Apply →  job-boards.greenhouse.io/virtu/jobs/8624408002</t>
  </si>
  <si>
    <t>22</t>
  </si>
  <si>
    <t>Campus Undergraduate Summer Internship - Strategy &amp; Analytics - Credit &amp; Fraud Risk</t>
  </si>
  <si>
    <t>Undergraduate Intern - Strategy &amp; Analytics</t>
  </si>
  <si>
    <t>Data Scientist Year Round Intern (BS/MS)</t>
  </si>
  <si>
    <t>Apply →  amat.wd1.myworkdayjobs.com/en-US/external/job/Santa-ClaraC</t>
  </si>
  <si>
    <t>MS eligible; year-round</t>
  </si>
  <si>
    <t>Boeing Summer 2027 Internship Program (Paid) - Data Analytics Intern</t>
  </si>
  <si>
    <t>Everett, WA; Ridley Park, PA (+58 more)</t>
  </si>
  <si>
    <t>Apply →  boeing.wd1.myworkdayjobs.com/EXTERNAL_CAREERS/job/USA---Ev</t>
  </si>
  <si>
    <t>External careers site version</t>
  </si>
  <si>
    <t>Boeing Summer 2027 Internship Program - Paid - Data Analytics Intern</t>
  </si>
  <si>
    <t>Everett, WA</t>
  </si>
  <si>
    <t>Apply →  boeing.wd1.myworkdayjobs.com/en-US/external_careers/job/US</t>
  </si>
  <si>
    <t>Aerospace; verify US-person rule</t>
  </si>
  <si>
    <t>Technology Product Analyst Intern</t>
  </si>
  <si>
    <t>Apply →  applyguy.ai/jobs?company=Copart&amp;job=90a8ef83-a3ff-43e1-858</t>
  </si>
  <si>
    <t>PM/analyst role</t>
  </si>
  <si>
    <t>Data Science for Social Good</t>
  </si>
  <si>
    <t>DSSG Summer Fellowship</t>
  </si>
  <si>
    <t>Apply →  dssgfellowship.org/</t>
  </si>
  <si>
    <t>CMU-affiliated summer data science fellowship</t>
  </si>
  <si>
    <t>ID.me</t>
  </si>
  <si>
    <t>University 2026 Intern: Product Manager</t>
  </si>
  <si>
    <t>Apply →  job-boards.greenhouse.io/idmeuniversityrecruiting/jobs/738</t>
  </si>
  <si>
    <t>Data Science and Analytics Intern</t>
  </si>
  <si>
    <t>DTCO Data Engineer Intern</t>
  </si>
  <si>
    <t>Apply →  intel.wd1.myworkdayjobs.com/External/job/US-Texas-Austin/D</t>
  </si>
  <si>
    <t>ITT</t>
  </si>
  <si>
    <t>Trade &amp; Supply Chain Data Analytics Co-op</t>
  </si>
  <si>
    <t>Orchard Park, NY</t>
  </si>
  <si>
    <t>Apply →  careersenus-itt-inc.icims.com/jobs/17342/job</t>
  </si>
  <si>
    <t>Also open for Spring 2027</t>
  </si>
  <si>
    <t>Data Science and Analytics Part-Time Student</t>
  </si>
  <si>
    <t>Apply →  johndeere.eightfold.ai/careers/job/137481458189</t>
  </si>
  <si>
    <t>Metropolitan Transportation Authority</t>
  </si>
  <si>
    <t>Brooklyn, NY</t>
  </si>
  <si>
    <t>Apply →  jobs.jobvite.com/metropolitantransportationauthority/job/o</t>
  </si>
  <si>
    <t>NYC-based; convenient for Columbia</t>
  </si>
  <si>
    <t>Data Analyst Intern - Power, Emerging Talent</t>
  </si>
  <si>
    <t>Intern, IT Computer Science - Data Analytics</t>
  </si>
  <si>
    <t>GDI Business Analyst Intern - OVIP</t>
  </si>
  <si>
    <t>Technical Program Management Intern</t>
  </si>
  <si>
    <t>Apply →  jobs.ashbyhq.com/rivianvw.tech/8cfc9852-8aa4-492f-8817-ae4</t>
  </si>
  <si>
    <t>TPM role; bachelor's-targeted</t>
  </si>
  <si>
    <t>ROCKWOOL Group</t>
  </si>
  <si>
    <t>Product Management - Intern</t>
  </si>
  <si>
    <t>Apply →  applyguy.ai/jobs?company=ROCKWOOL+Group&amp;job=bda16720-5bfd-</t>
  </si>
  <si>
    <t>PM role - non-tech industry</t>
  </si>
  <si>
    <t>2027 Internship: Gas Compressor Data Analyst</t>
  </si>
  <si>
    <t>Apply →  cat.wd5.myworkdayjobs.com/en-US/solarturbines/job/San-Dieg</t>
  </si>
  <si>
    <t>Product Manager, Intern</t>
  </si>
  <si>
    <t>Apply →  jobs.ashbyhq.com/tessera-labs/3b2d45b8-9881-41fe-b103-7bbc</t>
  </si>
  <si>
    <t>Tech &amp; Data Program Summer 2027 - Data Engineer Intern</t>
  </si>
  <si>
    <t>Apply →  applyguy.ai/jobs?company=The+Hartford&amp;job=7958264f-6003-4f</t>
  </si>
  <si>
    <t>Tnuck</t>
  </si>
  <si>
    <t>Apply →  applyguy.ai/jobs?company=Tnuck&amp;job=ad69fe51-4adf-4511-8a90</t>
  </si>
  <si>
    <t>Business Intelligence Developer Internship</t>
  </si>
  <si>
    <t>Apply →  applyguy.ai/jobs?company=Uline&amp;job=9955155f-fd7c-4baa-8719</t>
  </si>
  <si>
    <t>21</t>
  </si>
  <si>
    <t>Instructional Design - Fall 2026</t>
  </si>
  <si>
    <t>Memphis, TN</t>
  </si>
  <si>
    <t>Apply →  abb.wd3.myworkdayjobs.com/external_career_page/job/USA-TN-</t>
  </si>
  <si>
    <t>Amentum</t>
  </si>
  <si>
    <t>Intern - Digital and Logic Design Engineer Fall Intern</t>
  </si>
  <si>
    <t>Huntsville, AL</t>
  </si>
  <si>
    <t>Apply →  pae.wd1.myworkdayjobs.com/Amentum_Careers/job/US-AL-Huntsv</t>
  </si>
  <si>
    <t>Arlington County VA</t>
  </si>
  <si>
    <t>Utility Engineering Intern</t>
  </si>
  <si>
    <t>Arlington, VA</t>
  </si>
  <si>
    <t>Apply →  fa-exkk-saasfaprod1.fa.ocs.oraclecloud.com/hcmUI/Candidate</t>
  </si>
  <si>
    <t>ASM International</t>
  </si>
  <si>
    <t>Apply →  asm.com/open-vacancies?gh_jid=4830113101</t>
  </si>
  <si>
    <t>Semiconductor equipment</t>
  </si>
  <si>
    <t>Harness Design Engineer Intern (Fall 2026)</t>
  </si>
  <si>
    <t>Apply →  job-boards.greenhouse.io/astranis/jobs/4597559006</t>
  </si>
  <si>
    <t>zapply visa col: blank; age 3mo; defense/gov - verify US-person rule</t>
  </si>
  <si>
    <t>Mechanical Engineer - Associate Program (Fall 2026)</t>
  </si>
  <si>
    <t>Apply →  job-boards.greenhouse.io/astranis/jobs/4603493006</t>
  </si>
  <si>
    <t>Mechanical Engineer Intern (Fall 2026)</t>
  </si>
  <si>
    <t>Apply →  job-boards.greenhouse.io/astranis/jobs/4677541006</t>
  </si>
  <si>
    <t>Software Engineer - Backend Intern (Fall 2026)</t>
  </si>
  <si>
    <t>Apply →  job-boards.greenhouse.io/astranis/jobs/4681183006</t>
  </si>
  <si>
    <t>zapply visa col: blank; age 2mo; defense/gov - verify US-person rule</t>
  </si>
  <si>
    <t>Black Cape</t>
  </si>
  <si>
    <t>Apply →  blackcape.applytojob.com/apply/7o6mmAYryt</t>
  </si>
  <si>
    <t>Intel-community contractor; verify clearance</t>
  </si>
  <si>
    <t>Blue Cross Blue Shield of Michigan</t>
  </si>
  <si>
    <t>Apply →  ejko.fa.us2.oraclecloud.com/hcmUI/CandidateExperience/en/s</t>
  </si>
  <si>
    <t>Powertrain Controls Software Engineer Intern</t>
  </si>
  <si>
    <t>Apply →  jobs.smartrecruiters.com/BoschGroup/744000140089589</t>
  </si>
  <si>
    <t>Cadence Design Systems</t>
  </si>
  <si>
    <t>SSG Design Engineering Intern - Fall 2026</t>
  </si>
  <si>
    <t>Apply →  cadence.wd1.myworkdayjobs.com/External_Careers/job/SAN-JOS</t>
  </si>
  <si>
    <t>Charles River Analytics</t>
  </si>
  <si>
    <t>Software QA Tester Intern/Co-op - Fall 2026</t>
  </si>
  <si>
    <t>Apply →  cra.com/job-listings/job?gh_jid=8035563</t>
  </si>
  <si>
    <t>defense R&amp;D - US person likely</t>
  </si>
  <si>
    <t>Ciena</t>
  </si>
  <si>
    <t>Software Engineer and Tools Developer Intern (Fall 2026)</t>
  </si>
  <si>
    <t>Apply →  ciena.wd5.myworkdayjobs.com/en-US/Careers/job/Software-Eng</t>
  </si>
  <si>
    <t>Location unverified (Ciena has US and Canada sites)</t>
  </si>
  <si>
    <t>Hardware Engineer 1 Co-op</t>
  </si>
  <si>
    <t>San Jose, CA; San Francisco, CA (+3)</t>
  </si>
  <si>
    <t>Hardware Engineer 2 Co-op</t>
  </si>
  <si>
    <t>Austin, TX; San Jose, CA (+4)</t>
  </si>
  <si>
    <t>GRC Team Intern (Fall 2026)</t>
  </si>
  <si>
    <t>Apply →  boards.greenhouse.io/cloudflare/jobs/8095533?gh_jid=809553</t>
  </si>
  <si>
    <t>Crunchtime</t>
  </si>
  <si>
    <t>GTM Engineering Intern</t>
  </si>
  <si>
    <t>Apply →  crunchtime.com/open-positions?gh_jid=5971210004</t>
  </si>
  <si>
    <t>Doctors Without Borders</t>
  </si>
  <si>
    <t>Data Science Intern</t>
  </si>
  <si>
    <t>Apply →  job-boards.greenhouse.io/msfcareers/jobs/5271141008</t>
  </si>
  <si>
    <t>Repo marks org as visa sponsor</t>
  </si>
  <si>
    <t>San Francisco, CA; Austin, TX</t>
  </si>
  <si>
    <t>Electrical Interconnect Engineering Intern [Fall 2026]</t>
  </si>
  <si>
    <t>Apply →  job-boards.greenhouse.io/figureai/jobs/4676468006</t>
  </si>
  <si>
    <t>First Solar</t>
  </si>
  <si>
    <t>Software Engineer Intern (1st Shift) - Fall 2026</t>
  </si>
  <si>
    <t>Perrysburg, OH</t>
  </si>
  <si>
    <t>Apply →  fa-esbv-saasfaprod1.fa.ocs.oraclecloud.com/hcmUI/Candidate</t>
  </si>
  <si>
    <t>$46K-52K</t>
  </si>
  <si>
    <t>Supply Chain Operations Software Intern (Fall 2026)</t>
  </si>
  <si>
    <t>Apply →  applyguy.ai/jobs?company=Formlabs&amp;job=d9f4496e-f33d-480b-8</t>
  </si>
  <si>
    <t>Test Software - Manufacturing Intern (Fall 2026)</t>
  </si>
  <si>
    <t>Apply →  applyguy.ai/jobs?company=Formlabs&amp;job=ed35047b-9a71-476d-a</t>
  </si>
  <si>
    <t>Freeform</t>
  </si>
  <si>
    <t>Additive Engineering Internship (Fall 2026)</t>
  </si>
  <si>
    <t>Apply →  job-boards.greenhouse.io/freeformfuturecorp/jobs/776751300</t>
  </si>
  <si>
    <t>Process Engineering Internship (Fall 2026)</t>
  </si>
  <si>
    <t>Apply →  job-boards.greenhouse.io/freeformfuturecorp/jobs/776527100</t>
  </si>
  <si>
    <t>GE Aerospace</t>
  </si>
  <si>
    <t>Systems Engineering Co-op - EE/CE (Avionics) - Spring 2027, Returning Students</t>
  </si>
  <si>
    <t>Grand Rapids, MI</t>
  </si>
  <si>
    <t>Apply →  geaerospace.wd5.myworkdayjobs.com/GE_ExternalSite/job/Gran</t>
  </si>
  <si>
    <t>Returning students only; likely export-controlled</t>
  </si>
  <si>
    <t>Systems Engineering Co-op - EE/CE (Electric Power) - Spring 2027, Returning Students</t>
  </si>
  <si>
    <t>Dayton, OH</t>
  </si>
  <si>
    <t>Apply →  geaerospace.wd5.myworkdayjobs.com/GE_ExternalSite/job/Dayt</t>
  </si>
  <si>
    <t>Returning students only</t>
  </si>
  <si>
    <t>Nuclear Engineering Co-Op/Intern - Spring 2027</t>
  </si>
  <si>
    <t>Wilmington, NC</t>
  </si>
  <si>
    <t>Apply →  gevernova.wd5.myworkdayjobs.com/vernova_externalsite/job/W</t>
  </si>
  <si>
    <t>Non-CS discipline</t>
  </si>
  <si>
    <t>Heliux</t>
  </si>
  <si>
    <t>Software Engineer (Internship, Spring 2027)</t>
  </si>
  <si>
    <t>Apply →  jobs.ashbyhq.com/heliux/c71c0650-b6f7-491f-b291-6b280f58ee</t>
  </si>
  <si>
    <t>Hendrick Motorsports</t>
  </si>
  <si>
    <t>Project and Race Support Engineer Intern (Spring 2027)</t>
  </si>
  <si>
    <t>Apply →  hendrick.wd5.myworkdayjobs.com/HMSCareers/job/Hendrick-Mot</t>
  </si>
  <si>
    <t>Software Engineering Intern - HIL - Fall 2026</t>
  </si>
  <si>
    <t>Apply →  jobs.lever.co/hermeus/10d69ef6-a754-42ab-833c-76adf01367bf</t>
  </si>
  <si>
    <t>hypersonics - US person likely</t>
  </si>
  <si>
    <t>Software Engineering Intern - HMI - Fall 2026</t>
  </si>
  <si>
    <t>2026-05-04</t>
  </si>
  <si>
    <t>Software Engineering Intern - Modeling &amp; Simulation - Fall 2026</t>
  </si>
  <si>
    <t>Apply →  jobs.lever.co/hermeus/49f7cf3f-bf66-44ca-bf97-ee0f7180a68d</t>
  </si>
  <si>
    <t>Horizon Industries</t>
  </si>
  <si>
    <t>Appian Intern</t>
  </si>
  <si>
    <t>Apply →  job-boards.greenhouse.io/horizonindustrieslimited/jobs/530</t>
  </si>
  <si>
    <t>Federal contractor in DC; verify clearance rules</t>
  </si>
  <si>
    <t>HP IQ</t>
  </si>
  <si>
    <t>Software Engineering Intern, Device Experiences (Fall 2026)</t>
  </si>
  <si>
    <t>Apply →  job-boards.greenhouse.io/hpiq/jobs/5622472004</t>
  </si>
  <si>
    <t>Incident IQ</t>
  </si>
  <si>
    <t>Apply →  job-boards.greenhouse.io/incidentiq/jobs/7824038003</t>
  </si>
  <si>
    <t>Application Engineering Co-op</t>
  </si>
  <si>
    <t>Apply →  ats.rippling.com/lightguide/jobs/37069bc9-a6ba-4841-97fb-b</t>
  </si>
  <si>
    <t>Menasha</t>
  </si>
  <si>
    <t>Custom Packaging Design Engineer Co-Op (Summer/Fall 2026)</t>
  </si>
  <si>
    <t>Piedmont, SC</t>
  </si>
  <si>
    <t>Apply →  menasha.wd12.myworkdayjobs.com/menashacorp/job/Piedmont-So</t>
  </si>
  <si>
    <t>Intern - Equipment Engineering Technician, Wet Process</t>
  </si>
  <si>
    <t>Gresham, OR</t>
  </si>
  <si>
    <t>Intern - TPG Global Industrial Engineering</t>
  </si>
  <si>
    <t>Apply →  micron.wd1.myworkdayjobs.com/External/job/Boise-ID---Main-</t>
  </si>
  <si>
    <t>Mosaic</t>
  </si>
  <si>
    <t>Applied Process Technology (APT) Engineer Co-Op/Intern - Spring 2027</t>
  </si>
  <si>
    <t>Apply →  mosaic.wd5.myworkdayjobs.com/mosaic/job/US---Tampa-FL-Lith</t>
  </si>
  <si>
    <t>Capital Project Engineering Co-op/Intern - Spring 2027</t>
  </si>
  <si>
    <t>Operations &amp; Automation Engineering Co-op/Intern - Spring 2027</t>
  </si>
  <si>
    <t>Bartow, FL</t>
  </si>
  <si>
    <t>Apply →  mosaic.wd5.myworkdayjobs.com/mosaic/job/US---Bartow-FL/Ope</t>
  </si>
  <si>
    <t>Automation/controls</t>
  </si>
  <si>
    <t>Water Balance Engineer Co-Op/Intern - Spring 2027</t>
  </si>
  <si>
    <t>Mulberry, FL</t>
  </si>
  <si>
    <t>Apply →  mosaic.wd5.myworkdayjobs.com/mosaic/job/US---Mulberry-FL/W</t>
  </si>
  <si>
    <t>Nebo</t>
  </si>
  <si>
    <t>Back-End Engineer Intern</t>
  </si>
  <si>
    <t>Apply →  neboagency.applytojob.com/apply/VhgOaS6Nx3</t>
  </si>
  <si>
    <t>Front-End Engineer Intern</t>
  </si>
  <si>
    <t>Apply →  neboagency.applytojob.com/apply/TtGKnP4ODV</t>
  </si>
  <si>
    <t>Apply →  neboagency.applytojob.com/apply/AFMqe9Jb7b</t>
  </si>
  <si>
    <t>Nidec</t>
  </si>
  <si>
    <t>Test Lab Engineer Co-op</t>
  </si>
  <si>
    <t>Apply →  nidec.wd1.myworkdayjobs.com/nidec/job/North-AmericaUSAMiss</t>
  </si>
  <si>
    <t>Odin Dynamics</t>
  </si>
  <si>
    <t>Engineering Intern</t>
  </si>
  <si>
    <t>Apply →  jobs.ashbyhq.com/odin-dynamics/db6fe6ed-3517-423d-a757-3b6</t>
  </si>
  <si>
    <t>Apply →  jobs.ashbyhq.com/persona.ai/a68c0823-0b61-4741-9fbc-a1f6d7</t>
  </si>
  <si>
    <t>Pivotal</t>
  </si>
  <si>
    <t>Internship, GNC Engineering (Fall)</t>
  </si>
  <si>
    <t>Apply →  applyguy.ai/jobs?company=Pivotal&amp;job=049c65cc-9a89-45ab-85</t>
  </si>
  <si>
    <t>Guidance/navigation/control - eVTOL</t>
  </si>
  <si>
    <t>Prospect Equities</t>
  </si>
  <si>
    <t>Backend / Frontend Developer Intern</t>
  </si>
  <si>
    <t>Apply →  prospectequities.applytojob.com/apply/XTbzSAcNtg</t>
  </si>
  <si>
    <t>QuEra Computing</t>
  </si>
  <si>
    <t>Mechanical Engineering Co-Op - Fall 2026</t>
  </si>
  <si>
    <t>Apply →  job-boards.greenhouse.io/queracomputinginc/jobs/5370312008</t>
  </si>
  <si>
    <t>Rainmaker</t>
  </si>
  <si>
    <t>Electrical Engineering Intern - Fall</t>
  </si>
  <si>
    <t>Apply →  jobs.lever.co/make-rain/3d4f859f-f2dd-4f2d-b15b-675e0d62a3</t>
  </si>
  <si>
    <t>Reframe Systems</t>
  </si>
  <si>
    <t>Mechanical Engineer (Spring 2027 Co-op)</t>
  </si>
  <si>
    <t>Andover, MA</t>
  </si>
  <si>
    <t>Apply →  jobs.ashbyhq.com/reframesystems/f5275832-8373-4971-b5f6-6a</t>
  </si>
  <si>
    <t>zapply visa col: blank; age 13h</t>
  </si>
  <si>
    <t>Avionics Engineering Intern (Spring 2027)</t>
  </si>
  <si>
    <t>Apply →  job-boards.greenhouse.io/rendezvousrobotics/jobs/432911800</t>
  </si>
  <si>
    <t>Manufacturing and Test Engineering Intern (Spring 2027)</t>
  </si>
  <si>
    <t>Apply →  job-boards.greenhouse.io/rendezvousrobotics/jobs/433208200</t>
  </si>
  <si>
    <t>Apply →  job-boards.greenhouse.io/rendezvousrobotics/jobs/432912300</t>
  </si>
  <si>
    <t>Revise Robotics</t>
  </si>
  <si>
    <t>Engineering Intern - Summer/Fall 2026</t>
  </si>
  <si>
    <t>Apply →  jobs.ashbyhq.com/reviserobotics/7b0426d4-cf8c-4fdf-98a8-5a</t>
  </si>
  <si>
    <t>Software Engineering Intern - Embedded Platforms - Fall 2026</t>
  </si>
  <si>
    <t>Apply →  jobs.ashbyhq.com/rivianvw.tech/4dfbf1e6-3778-4101-8ac7-cd4</t>
  </si>
  <si>
    <t>Rocket Lab</t>
  </si>
  <si>
    <t>Manufacturing Engineering Intern Fall 2026</t>
  </si>
  <si>
    <t>Apply →  job-boards.greenhouse.io/rocketlab/jobs/7733900003</t>
  </si>
  <si>
    <t>Enterprise Technology Intern - Technical Delivery (Fall 2026)</t>
  </si>
  <si>
    <t>Apply →  jobs.ashbyhq.com/saronic/18055a6f-030f-41ef-9116-7ffffac15</t>
  </si>
  <si>
    <t>2026-06-20</t>
  </si>
  <si>
    <t>defense maritime - US person likely req</t>
  </si>
  <si>
    <t>Sparksoft</t>
  </si>
  <si>
    <t>Technical Intern</t>
  </si>
  <si>
    <t>Maryland</t>
  </si>
  <si>
    <t>Apply →  job-boards.greenhouse.io/sparksoftcorporation/jobs/5199580</t>
  </si>
  <si>
    <t>Federal health IT contractor; verify citizenship rules</t>
  </si>
  <si>
    <t>Specter Aerospace</t>
  </si>
  <si>
    <t>Front-End Software Developer Co-Op Spring 2027</t>
  </si>
  <si>
    <t>Apply →  specteraerospace.bamboohr.com/careers/120</t>
  </si>
  <si>
    <t>defense/gov contractor - verify US-person rule</t>
  </si>
  <si>
    <t>Full Stack Developer Co-Op Spring 2027</t>
  </si>
  <si>
    <t>Apply →  specteraerospace.bamboohr.com/careers/122</t>
  </si>
  <si>
    <t>Scientific Software Developer Intern Co-op</t>
  </si>
  <si>
    <t>Apply →  stellarscience.applytojob.com/apply/my4AC4VXHI</t>
  </si>
  <si>
    <t>DoD-adjacent; verify clearance requirement</t>
  </si>
  <si>
    <t>Apply →  ats.rippling.com/studyfetch/jobs/4ab846a3-a963-46c3-a60d-0</t>
  </si>
  <si>
    <t>EdTech startup</t>
  </si>
  <si>
    <t>Sunday Robotics</t>
  </si>
  <si>
    <t>Manufacturing Engineering Intern (Fall 2026)</t>
  </si>
  <si>
    <t>Apply →  jobs.ashbyhq.com/sunday/08feb65a-08b0-462d-aebf-4f0239a16e</t>
  </si>
  <si>
    <t>Synchrony Bank</t>
  </si>
  <si>
    <t>Apply →  synchronyfinancial.wd5.myworkdayjobs.com/en-US/university/</t>
  </si>
  <si>
    <t>True Anomaly</t>
  </si>
  <si>
    <t>Avionics and Electrical Engineering Fall 2026 Intern</t>
  </si>
  <si>
    <t>Denver, CO; Long Beach, CA</t>
  </si>
  <si>
    <t>Apply →  job-boards.greenhouse.io/trueanomalyinc/jobs/5192738007</t>
  </si>
  <si>
    <t>zapply visa col: blank; age 2w; defense/gov - verify US-person rule</t>
  </si>
  <si>
    <t>Verne Robotics</t>
  </si>
  <si>
    <t>Apply →  jobs.ashbyhq.com/Verne%20Robotics/bb78cdd4-449b-49f0-bd10-</t>
  </si>
  <si>
    <t>Software Engineering Internship - Fall 2026</t>
  </si>
  <si>
    <t>Apply →  applyguy.ai/jobs?company=Vital+Lyfe&amp;job=b4cf1308-45c4-49a3</t>
  </si>
  <si>
    <t>Sports Production and Design Internships ATL Fall 2026</t>
  </si>
  <si>
    <t>Apply →  warnerbros.wd5.myworkdayjobs.com/global/job/GA-Atlanta-105</t>
  </si>
  <si>
    <t>WGU</t>
  </si>
  <si>
    <t>Data Support Engineer Intern</t>
  </si>
  <si>
    <t>Salt Lake City, UT</t>
  </si>
  <si>
    <t>Apply →  wgu.wd5.myworkdayjobs.com/External/job/Salt-Lake-City-UT/D</t>
  </si>
  <si>
    <t>Zip</t>
  </si>
  <si>
    <t>Apply →  jobs.ashbyhq.com/zip/caa5ba75-3b38-4d29-88cd-69a90b01fd6f</t>
  </si>
  <si>
    <t>Enterprise Systems Software Engineer Intern (Fall 2026)</t>
  </si>
  <si>
    <t>Apply →  builtinsf.com/job/enterprise-systems-software-engineer-int</t>
  </si>
  <si>
    <t>20</t>
  </si>
  <si>
    <t>ABC Fitness</t>
  </si>
  <si>
    <t>Software Engineer - Intern</t>
  </si>
  <si>
    <t>Apply →  abcfinancial.wd5.myworkdayjobs.com/abcfinancialservices/jo</t>
  </si>
  <si>
    <t>Frisco, TX</t>
  </si>
  <si>
    <t>Altasciences</t>
  </si>
  <si>
    <t>Process Innovation - Software Engineering Intern</t>
  </si>
  <si>
    <t>Apply →  altasciences.wd1.myworkdayjobs.com/en-US/careers/job/Overl</t>
  </si>
  <si>
    <t>Ambarella</t>
  </si>
  <si>
    <t>Apply →  ambarella.wd108.myworkdayjobs.com/ambarella/job/US-Headqua</t>
  </si>
  <si>
    <t>Apex Technology</t>
  </si>
  <si>
    <t>Software Engineering Intern, Embedded Systems</t>
  </si>
  <si>
    <t>Apply →  jobs.ashbyhq.com/apex-technology-inc/5ec2dfa9-724d-4ce4-ab</t>
  </si>
  <si>
    <t>Aquatic Capital</t>
  </si>
  <si>
    <t>Apply →  job-boards.greenhouse.io/embed/job_app?for=aquaticcapitalm</t>
  </si>
  <si>
    <t>AssetMark</t>
  </si>
  <si>
    <t>Apply →  assetmark.wd5.myworkdayjobs.com/AssetMark_Careers/job/Aust</t>
  </si>
  <si>
    <t>Infrastructure Software Engineering Intern</t>
  </si>
  <si>
    <t>Apply →  jobs.ashbyhq.com/AtomicSemi/867c67f7-20b5-4726-b9da-85a760</t>
  </si>
  <si>
    <t>Software Engineering Intern, Fab</t>
  </si>
  <si>
    <t>Austin, TX; San Francisco, CA</t>
  </si>
  <si>
    <t>Apply →  jobs.ashbyhq.com/AtomicSemi/947338ca-e135-4398-9aa3-79e131</t>
  </si>
  <si>
    <t>Axway</t>
  </si>
  <si>
    <t>Apply →  careers-axway.icims.com/jobs/8659/software-engineering-int</t>
  </si>
  <si>
    <t>Base Power</t>
  </si>
  <si>
    <t>Manufacturing Engineering Intern</t>
  </si>
  <si>
    <t>Apply →  jobs.ashbyhq.com/base-power/a92c9d93-eac0-4da5-b3f2-edf1ee</t>
  </si>
  <si>
    <t>Apply →  jobs.ashbyhq.com/base-power/5353ea33-57d4-46fa-9a96-e392a3</t>
  </si>
  <si>
    <t>Becton Dickinson</t>
  </si>
  <si>
    <t>Quality Engineering Intern</t>
  </si>
  <si>
    <t>Apply →  bdx.wd1.myworkdayjobs.com/EXTERNAL_CAREER_SITE_USA/job/USA</t>
  </si>
  <si>
    <t>BigCommerce</t>
  </si>
  <si>
    <t>Intern - Software Engineering - TypeScript / Full Stack</t>
  </si>
  <si>
    <t>Apply →  bigcommerce.wd12.myworkdayjobs.com/Commerce/job/US---GA---</t>
  </si>
  <si>
    <t>BillionToOne</t>
  </si>
  <si>
    <t>Apply →  job-boards.greenhouse.io/billiontoone/jobs/4702398005</t>
  </si>
  <si>
    <t>BNP Paribas</t>
  </si>
  <si>
    <t>2027 Summer Analyst Internship - Corporate Functions Operations</t>
  </si>
  <si>
    <t>Jersey City, NJ</t>
  </si>
  <si>
    <t>Apply →  group.bnpparibas/en/careers/job-offer/2027-summer-analyst-</t>
  </si>
  <si>
    <t>2027 Summer Analyst Internship - Global Markets Sales</t>
  </si>
  <si>
    <t>Software Engineering Intern - Year-Round</t>
  </si>
  <si>
    <t>Apply →  borgwarner.wd5.myworkdayjobs.com/en-US/borgwarner_careers/</t>
  </si>
  <si>
    <t>year-round</t>
  </si>
  <si>
    <t>Industrial Engineering Intern</t>
  </si>
  <si>
    <t>Fort Lauderdale, FL</t>
  </si>
  <si>
    <t>Apply →  jobs.smartrecruiters.com/BoschGroup/744000129558149</t>
  </si>
  <si>
    <t>Mechanical Design Engineering Intern</t>
  </si>
  <si>
    <t>Apply →  jobs.smartrecruiters.com/BoschGroup/744000131662039</t>
  </si>
  <si>
    <t>Cargill</t>
  </si>
  <si>
    <t>Operations Management Intern - Summer 2027</t>
  </si>
  <si>
    <t>Minneapolis, MN</t>
  </si>
  <si>
    <t>Apply →  careers.cargill.com/en/job/minneapolis/operations-manageme</t>
  </si>
  <si>
    <t>Apply →  jobs.ashbyhq.com/centerfield/3279e803-56ab-4e12-8168-c2fd6</t>
  </si>
  <si>
    <t>Database Engineering Intern</t>
  </si>
  <si>
    <t>Apply →  copart.wd12.myworkdayjobs.com/Copart/job/Dallas-TX---Headq</t>
  </si>
  <si>
    <t>Field Engineering Intern</t>
  </si>
  <si>
    <t>Vulnerability Management Engineering Intern</t>
  </si>
  <si>
    <t>Corpay</t>
  </si>
  <si>
    <t>Web Application Developer Intern</t>
  </si>
  <si>
    <t>Apply →  jobs.dayforcehcm.com/en-US/corpay/candidateportal/jobs/558</t>
  </si>
  <si>
    <t>Daimler Truck North America</t>
  </si>
  <si>
    <t>Manufacturing Systems Engineering Co-op</t>
  </si>
  <si>
    <t>Byesville, OH</t>
  </si>
  <si>
    <t>Apply →  dtna.wd5.myworkdayjobs.com/DTNA_external/job/Byesville-OH-</t>
  </si>
  <si>
    <t>Dexcom</t>
  </si>
  <si>
    <t>2027 US Summer Internship - Early Interest</t>
  </si>
  <si>
    <t>Apply →  careers.dexcom.com/careers/job/40100410</t>
  </si>
  <si>
    <t>Diversified Automation</t>
  </si>
  <si>
    <t>Apply →  jobs.lever.co/diversified-automation/827a092d-b8a3-4ca9-a8</t>
  </si>
  <si>
    <t>Dover</t>
  </si>
  <si>
    <t>Apply →  careers.dovercorporation.com/job/Austin-Software-Developer</t>
  </si>
  <si>
    <t>Emerson Electric</t>
  </si>
  <si>
    <t>Apply →  hdjq.fa.us2.oraclecloud.com/hcmUI/CandidateExperience/en/s</t>
  </si>
  <si>
    <t>ENFOS</t>
  </si>
  <si>
    <t>Frontend Engineering Intern (UI/UX Focus)</t>
  </si>
  <si>
    <t>Apply →  apply.workable.com/enfos-inc/j/7364AA5599/</t>
  </si>
  <si>
    <t>Equifax</t>
  </si>
  <si>
    <t>Apply →  equifax.wd5.myworkdayjobs.com/UR_External/job/USA---Georgi</t>
  </si>
  <si>
    <t>Equinix</t>
  </si>
  <si>
    <t>Apply →  equinix.wd1.myworkdayjobs.com/External/job/Dallas/Software</t>
  </si>
  <si>
    <t>Firmware Intern</t>
  </si>
  <si>
    <t>Apply →  jobs.ashbyhq.com/Etched/8134a9bf-9624-48dd-98be-0bf1c3cb1f</t>
  </si>
  <si>
    <t>Manufacturing Test Software Intern</t>
  </si>
  <si>
    <t>Apply →  careers.formlabs.com/job/8021679/apply/?gh_jid=8021679</t>
  </si>
  <si>
    <t>Gelber Group</t>
  </si>
  <si>
    <t>Software Engineer Intern - Technical</t>
  </si>
  <si>
    <t>Apply →  job-boards.greenhouse.io/gelbergroup/jobs/4652887006</t>
  </si>
  <si>
    <t>Generac</t>
  </si>
  <si>
    <t>Intern - Test Engineering and Validation</t>
  </si>
  <si>
    <t>Apply →  generac.wd5.myworkdayjobs.com/External/job/Waukesha-WI---U</t>
  </si>
  <si>
    <t>Genuine Parts Company</t>
  </si>
  <si>
    <t>Web Developer Intern</t>
  </si>
  <si>
    <t>Birmingham, AL</t>
  </si>
  <si>
    <t>Apply →  genpt.wd1.myworkdayjobs.com/Careers/job/Birmingham-AL-USA/</t>
  </si>
  <si>
    <t>Harbinger Motors</t>
  </si>
  <si>
    <t>Intern, Test Engineering</t>
  </si>
  <si>
    <t>Garden Grove, CA</t>
  </si>
  <si>
    <t>Apply →  job-boards.greenhouse.io/harbingermotors/jobs/5164330007</t>
  </si>
  <si>
    <t>Healthesystems</t>
  </si>
  <si>
    <t>Apply →  healthesystems.com/unassigned/careers-list?gh_jid=76953440</t>
  </si>
  <si>
    <t>HealthStream</t>
  </si>
  <si>
    <t>Intern, Software Developer</t>
  </si>
  <si>
    <t>Nashville, TN</t>
  </si>
  <si>
    <t>Apply →  paycomonline.net/v4/ats/web.php/portal/4689D9AB2F6F99AD5F3</t>
  </si>
  <si>
    <t>HP</t>
  </si>
  <si>
    <t>Enterprise Operations Engineering Internship</t>
  </si>
  <si>
    <t>Spring, TX</t>
  </si>
  <si>
    <t>Apply →  hp.wd5.myworkdayjobs.com/ExternalCareerSite/job/Spring-Tex</t>
  </si>
  <si>
    <t>zapply visa col: H-1B Co.; age 4m</t>
  </si>
  <si>
    <t>Technology &amp; Innovation Organization Electrical Engineering Internship</t>
  </si>
  <si>
    <t>Corvallis, OR</t>
  </si>
  <si>
    <t>Apply →  hp.wd5.myworkdayjobs.com/ExternalCareerSite/job/Corvallis-</t>
  </si>
  <si>
    <t>Huntsman</t>
  </si>
  <si>
    <t>Chemical Engineering Intern</t>
  </si>
  <si>
    <t>The Woodlands, TX</t>
  </si>
  <si>
    <t>Apply →  huntsman.wd1.myworkdayjobs.com/Huntsman/job/USA---Texas---</t>
  </si>
  <si>
    <t>zapply visa col: H-1B Co.; age 2w</t>
  </si>
  <si>
    <t>Mechanical Engineering Intern</t>
  </si>
  <si>
    <t>HyperLight</t>
  </si>
  <si>
    <t>Apply →  apply.workable.com/hyperlight/j/5581EA0668/</t>
  </si>
  <si>
    <t>Apply →  iheartmedia.wd5.myworkdayjobs.com/External_iHM/job/San-Ant</t>
  </si>
  <si>
    <t>Apply →  imc.com/us/careers/jobs/4823945101</t>
  </si>
  <si>
    <t>Jump Trading Group</t>
  </si>
  <si>
    <t>Apply →  jumptrading.com/hr/job?gh_jid=8003019</t>
  </si>
  <si>
    <t>Co-op, Mechanical Engineer</t>
  </si>
  <si>
    <t>Apply →  job-boards.greenhouse.io/lilasciences/jobs/4284223009</t>
  </si>
  <si>
    <t>zapply visa col: Sponsor; age 1mo</t>
  </si>
  <si>
    <t>Intern - Systems Engineering</t>
  </si>
  <si>
    <t>Apply →  magna.wd3.myworkdayjobs.com/Magna/job/Southfield-Michigan-</t>
  </si>
  <si>
    <t>Monolithic Power Systems</t>
  </si>
  <si>
    <t>QA Intern</t>
  </si>
  <si>
    <t>Apply →  monolithicpower.wd12.myworkdayjobs.com/MPS_Careers/job/San</t>
  </si>
  <si>
    <t>Motorola Solutions</t>
  </si>
  <si>
    <t>Intern - Web Interface Software Engineer - 2026</t>
  </si>
  <si>
    <t>Apply →  motorolasolutions.wd5.myworkdayjobs.com/en-US/careers/job/</t>
  </si>
  <si>
    <t>2026-06-03</t>
  </si>
  <si>
    <t>Nash</t>
  </si>
  <si>
    <t>Full Stack Engineering Intern</t>
  </si>
  <si>
    <t>Apply →  jobs.ashbyhq.com/nash/5d2387ea-c478-433b-b3db-30115d1984c5</t>
  </si>
  <si>
    <t>repo lists company as 'usenash'</t>
  </si>
  <si>
    <t>IT Systems Administrator Intern</t>
  </si>
  <si>
    <t>Apply →  boards.greenhouse.io/neuralink/jobs/7736276003?gh_jid=7736</t>
  </si>
  <si>
    <t>zapply visa col: Sponsor; age 2mo</t>
  </si>
  <si>
    <t>Software Engineer Intern, BCI Applications</t>
  </si>
  <si>
    <t>Apply →  job-boards.greenhouse.io/neuralink/jobs/6594422003</t>
  </si>
  <si>
    <t>Software Engineer Co-Op</t>
  </si>
  <si>
    <t>Apply →  nidec.wd1.myworkdayjobs.com/en-US/nidec/job/North-AmericaU</t>
  </si>
  <si>
    <t>Year at Palantir - Forward Deployed Software Engineer</t>
  </si>
  <si>
    <t>Year-long program; repo marks sponsor</t>
  </si>
  <si>
    <t>Software Engineer Intern - Invoicing &amp; Payments</t>
  </si>
  <si>
    <t>Apply →  jobs.ashbyhq.com/pebl/656500ff-2bb5-4152-a553-02af70eff612</t>
  </si>
  <si>
    <t>Apply →  jobs.lever.co/make-rain/b45f954e-19df-45b1-8748-c8ae442a2e</t>
  </si>
  <si>
    <t>Business Analyst Intern</t>
  </si>
  <si>
    <t>Cloud Media Services Intern</t>
  </si>
  <si>
    <t>TETRAMEM</t>
  </si>
  <si>
    <t>Software Engineer Intern, Embedded</t>
  </si>
  <si>
    <t>Apply →  tetramem.hrmdirect.com/employment/job-opening.php?req=3491</t>
  </si>
  <si>
    <t>DevOps/SRE Intern</t>
  </si>
  <si>
    <t>Apply →  job-boards.greenhouse.io/transmarketgroup/jobs/5151577007?</t>
  </si>
  <si>
    <t>Tricentis</t>
  </si>
  <si>
    <t>Apply →  tricentis.wd1.myworkdayjobs.com/en-US/tricentis_careers/jo</t>
  </si>
  <si>
    <t>Apply →  job-boards.greenhouse.io/truveta/jobs/5659745004</t>
  </si>
  <si>
    <t>Operations Analyst Intern</t>
  </si>
  <si>
    <t>Veryable</t>
  </si>
  <si>
    <t>Mobile Engineer Intern - Android/iOS</t>
  </si>
  <si>
    <t>Apply →  ats.rippling.com/veryable-careers/jobs/cf74672c-c9c5-4be5-</t>
  </si>
  <si>
    <t>Washington University in St. Louis</t>
  </si>
  <si>
    <t>Software Engineering Intern - Time-Limited/Remote - WashU IT</t>
  </si>
  <si>
    <t>Apply →  wustl.wd1.myworkdayjobs.com/en-US/external/job/Washington-</t>
  </si>
  <si>
    <t>Wipfli</t>
  </si>
  <si>
    <t>ERP Tech Consulting Internship - Summer 2027</t>
  </si>
  <si>
    <t>Apply →  careers-wipfli.icims.com/jobs/7972/erp-tech-consulting-int</t>
  </si>
  <si>
    <t>Overhead Transmission Line Design Engineering Intern</t>
  </si>
  <si>
    <t>zapply visa col: H-1B Co.; age 3d</t>
  </si>
  <si>
    <t>19</t>
  </si>
  <si>
    <t>Nonprofit; remote</t>
  </si>
  <si>
    <t>Intern - Software Developer</t>
  </si>
  <si>
    <t>Cyber Security IT Intern - Remote</t>
  </si>
  <si>
    <t>Apply →  cnoinc.wd5.myworkdayjobs.com/Careers/job/Carmel-IN/Cyber-S</t>
  </si>
  <si>
    <t>Remote; based Carmel IN</t>
  </si>
  <si>
    <t>Fall 2026 Intern, Data Science</t>
  </si>
  <si>
    <t>Apply →  job-boards.greenhouse.io/kodiak/jobs/4174629009</t>
  </si>
  <si>
    <t>Mechanical Engineer Intern</t>
  </si>
  <si>
    <t>Apply →  marmon.wd501.myworkdayjobs.com/Marmon_MSIP_Internships/job</t>
  </si>
  <si>
    <t>Medpace</t>
  </si>
  <si>
    <t>Feasibility Informatics Intern / Co-op</t>
  </si>
  <si>
    <t>Cincinnati, OH</t>
  </si>
  <si>
    <t>Apply →  careers.medpace.com/jobs/12803</t>
  </si>
  <si>
    <t>Member Solutions (Jonas Software)</t>
  </si>
  <si>
    <t>Fully remote US</t>
  </si>
  <si>
    <t>Software Engineering Co-Op</t>
  </si>
  <si>
    <t>11 US locations</t>
  </si>
  <si>
    <t>PrizePicks</t>
  </si>
  <si>
    <t>Business Intelligence Intern - Fall 2026</t>
  </si>
  <si>
    <t>Apply →  prizepicks.com/position?gh_jid=7711235003</t>
  </si>
  <si>
    <t>Customer Insights Intern - Fall 2026</t>
  </si>
  <si>
    <t>Apply →  prizepicks.com/position?gh_jid=7726443003</t>
  </si>
  <si>
    <t>Data Science Intern - Fall 2026</t>
  </si>
  <si>
    <t>Apply →  prizepicks.com/position?gh_jid=7761731003</t>
  </si>
  <si>
    <t>Spacebourne</t>
  </si>
  <si>
    <t>Apply →  jobright.ai/jobs/info/6a33229cf6b55d12c7917ef0</t>
  </si>
  <si>
    <t>Sunwater Capital</t>
  </si>
  <si>
    <t>Fall Data Engineering Intern</t>
  </si>
  <si>
    <t>North Bethesda, MD</t>
  </si>
  <si>
    <t>Apply →  jobs.lever.co/sunwatercapital/7681fd31-8d0b-405c-b0e0-7f8c</t>
  </si>
  <si>
    <t>2026 Fall Co-op - Global Technology Solutions - Data Engineer</t>
  </si>
  <si>
    <t>18</t>
  </si>
  <si>
    <t>Data Analysis Intern</t>
  </si>
  <si>
    <t>Apply →  jobs.lever.co/calstart/39565f0d-d10f-458b-b72d-d807420059b</t>
  </si>
  <si>
    <t>ConnectPrep</t>
  </si>
  <si>
    <t>Washington, DC; Remote (US)</t>
  </si>
  <si>
    <t>Apply →  apply.workable.com/connectprep/j/C0CA13664F</t>
  </si>
  <si>
    <t>Golden Pet Brands</t>
  </si>
  <si>
    <t>Apply →  job-boards.greenhouse.io/goldenpetbrands/jobs/4713182005</t>
  </si>
  <si>
    <t>Hone Health</t>
  </si>
  <si>
    <t>Apply →  job-boards.greenhouse.io/honehealth/jobs/5308958008</t>
  </si>
  <si>
    <t>Backend Software Engineer Intern, Search</t>
  </si>
  <si>
    <t>Apply →  lifeattiktok.com/search/7667933335084124469</t>
  </si>
  <si>
    <t>flag per repo legend, verify</t>
  </si>
  <si>
    <t>Software Engineer Intern, Code Graph and Quality Validation</t>
  </si>
  <si>
    <t>Apply →  lifeattiktok.com/search/7667935738376227077</t>
  </si>
  <si>
    <t>Software Engineer Intern, PGC Creator Strategy</t>
  </si>
  <si>
    <t>Apply →  lifeattiktok.com/search/7667933770819897605</t>
  </si>
  <si>
    <t>Software Engineer Intern, Trust and Safety-Engineering</t>
  </si>
  <si>
    <t>Apply →  lifeattiktok.com/search/7662700594251958581</t>
  </si>
  <si>
    <t>US Acute Care Solutions</t>
  </si>
  <si>
    <t>People Analytics Intern</t>
  </si>
  <si>
    <t>Apply →  usacs.wd1.myworkdayjobs.com/usacscareers/job/Virtual-OH/Pe</t>
  </si>
  <si>
    <t>17</t>
  </si>
  <si>
    <t>Supply &amp; Trading TAMU TRIP Program Intern</t>
  </si>
  <si>
    <t>Apply →  chevron.wd5.myworkdayjobs.com/University/job/Houston-1400-</t>
  </si>
  <si>
    <t>Supply &amp; Trading TRIP Program Intern</t>
  </si>
  <si>
    <t>Deckers Brands</t>
  </si>
  <si>
    <t>Loyalty Analytics Intern</t>
  </si>
  <si>
    <t>Remote (US) (+13)</t>
  </si>
  <si>
    <t>Apply →  deckers.wd5.myworkdayjobs.com/Deckers/job/US---California-</t>
  </si>
  <si>
    <t>Business Intelligence Intern</t>
  </si>
  <si>
    <t>Group 1001</t>
  </si>
  <si>
    <t>Quantitative Analysis Intern</t>
  </si>
  <si>
    <t>Apply →  group1001wd.wd5.myworkdayjobs.com/careers/job/Stamford-Con</t>
  </si>
  <si>
    <t>Sharecare</t>
  </si>
  <si>
    <t>BI Analytics Intern</t>
  </si>
  <si>
    <t>Atlanta, GA; Remote (US)</t>
  </si>
  <si>
    <t>Apply →  sharecare.wd1.myworkdayjobs.com/Sharecare_Careers/job/BAM-</t>
  </si>
  <si>
    <t>Data Quality Intern</t>
  </si>
  <si>
    <t>Stride</t>
  </si>
  <si>
    <t>Apply →  strideinc.wd1.myworkdayjobs.com/en-US/SK/job/US-Nationwide</t>
  </si>
  <si>
    <t>16</t>
  </si>
  <si>
    <t>ACI Worldwide</t>
  </si>
  <si>
    <t>Apply →  ebwg.fa.us2.oraclecloud.com/hcmUI/CandidateExperience/en/s</t>
  </si>
  <si>
    <t>AeroVironment</t>
  </si>
  <si>
    <t>Software Test Engineer Intern</t>
  </si>
  <si>
    <t>Apply →  avav.wd1.myworkdayjobs.com/en-US/avav/job/Albuquerque-NM/S</t>
  </si>
  <si>
    <t>defense contractor - US person likely</t>
  </si>
  <si>
    <t>AQR Capital Management</t>
  </si>
  <si>
    <t>Trading Analyst Intern</t>
  </si>
  <si>
    <t>Greenwich, CT</t>
  </si>
  <si>
    <t>Apply →  careers.aqr.com/jobs?gh_jid=8077110&amp;gh_jid=8077110</t>
  </si>
  <si>
    <t>Listed as fab2 in source</t>
  </si>
  <si>
    <t>AVEVA</t>
  </si>
  <si>
    <t>Software Developer Intern - Drexel Co-op US</t>
  </si>
  <si>
    <t>Apply →  applyguy.ai/jobs?company=Aveva&amp;job=d0e0a079-630a-4acf-834c</t>
  </si>
  <si>
    <t>Drexel co-op specific</t>
  </si>
  <si>
    <t>RenderATL 2027 US Firmware Engineering Internship</t>
  </si>
  <si>
    <t>Apply →  applyguy.ai/jobs?company=Axon&amp;job=d944d568-6569-42b9-8f64-</t>
  </si>
  <si>
    <t>Baird</t>
  </si>
  <si>
    <t>Internship - Equity Research Analyst</t>
  </si>
  <si>
    <t>Apply →  bairdcareers.com/jobs/r20251244/internship-equity-research</t>
  </si>
  <si>
    <t>Canaan, CT</t>
  </si>
  <si>
    <t>zapply visa col: blank; age 5m</t>
  </si>
  <si>
    <t>Boeing Summer 2027 Internship Program - Information Digital Technology &amp; Security</t>
  </si>
  <si>
    <t>$44K-89K; Boeing often requires US person status</t>
  </si>
  <si>
    <t>Software Application Engineering Intern</t>
  </si>
  <si>
    <t>Apply →  applyguy.ai/jobs?company=BorgWarner&amp;job=c9fc187e-49c3-45f7</t>
  </si>
  <si>
    <t>Year-round</t>
  </si>
  <si>
    <t>Apply →  brunswick.wd1.myworkdayjobs.com/search/job/Champaign-IL/So</t>
  </si>
  <si>
    <t>$37K-54K</t>
  </si>
  <si>
    <t>CAE</t>
  </si>
  <si>
    <t>Arlington, TX</t>
  </si>
  <si>
    <t>Apply →  cae.wd3.myworkdayjobs.com/career/job/Arlington-TX/Mechanic</t>
  </si>
  <si>
    <t>zapply visa col: blank; age 1h; defense/gov - verify US-person rule</t>
  </si>
  <si>
    <t>Apply →  job-boards.greenhouse.io/chicagotradingcampus/jobs/4716930</t>
  </si>
  <si>
    <t>Clarity Innovations</t>
  </si>
  <si>
    <t>Junior Software Engineer Internship</t>
  </si>
  <si>
    <t>Herndon, VA</t>
  </si>
  <si>
    <t>Apply →  job-boards.greenhouse.io/clarityinnovates/jobs/5155449007</t>
  </si>
  <si>
    <t>Clarity Partners</t>
  </si>
  <si>
    <t>Salesforce Developer Internship</t>
  </si>
  <si>
    <t>Apply →  applyguy.ai/jobs?company=Clarity+Partners+LLC&amp;job=1e145d9e</t>
  </si>
  <si>
    <t>GRC Intern</t>
  </si>
  <si>
    <t>Apply →  simplify.jobs/p/f2e6ec0f-c6ff-45bf-ba8b-fc395f6131bb</t>
  </si>
  <si>
    <t>Governance/risk/compliance</t>
  </si>
  <si>
    <t>DevOps Engineering Intern</t>
  </si>
  <si>
    <t>Apply →  applyguy.ai/jobs?company=Copart&amp;job=b27e4678-830e-4c2e-bd1</t>
  </si>
  <si>
    <t>Crane</t>
  </si>
  <si>
    <t>Quality Engineering Co-op</t>
  </si>
  <si>
    <t>Spartanburg, SC</t>
  </si>
  <si>
    <t>Apply →  cranecompany.wd5.myworkdayjobs.com/Careers/job/Spartanburg</t>
  </si>
  <si>
    <t>Sustaining Engineering Intern</t>
  </si>
  <si>
    <t>Apply →  cranecompany.wd5.myworkdayjobs.com/Careers/job/Cincinnati-</t>
  </si>
  <si>
    <t>Electronics &amp; Embedded Systems Intern (Summer 2027)</t>
  </si>
  <si>
    <t>Apply →  draper.wd5.myworkdayjobs.com/draper_careers/job/Cambridge-</t>
  </si>
  <si>
    <t>Mechanical Engineering &amp; System Packaging Intern</t>
  </si>
  <si>
    <t>Apply →  draper.wd5.myworkdayjobs.com/Draper_Careers/job/Cambridge-</t>
  </si>
  <si>
    <t>FPGA Intern</t>
  </si>
  <si>
    <t>Apply →  drw.com/work-at-drw/listings/fpga-intern-3484423</t>
  </si>
  <si>
    <t>Faber &amp; Brand</t>
  </si>
  <si>
    <t>Apprentice Developer</t>
  </si>
  <si>
    <t>Columbia, MO</t>
  </si>
  <si>
    <t>Apply →  recruiting.paylocity.com/Recruiting/Jobs/Details/4333463</t>
  </si>
  <si>
    <t>Forerunner</t>
  </si>
  <si>
    <t>Apply →  builtinsf.com/job/software-engineer-intern/8747764</t>
  </si>
  <si>
    <t>Embedded Systems Engineer Co-op - Spring 2027</t>
  </si>
  <si>
    <t>Bohemia, NY</t>
  </si>
  <si>
    <t>Apply →  geaerospace.wd5.myworkdayjobs.com/en-US/ge_externalsite/jo</t>
  </si>
  <si>
    <t>North Billerica, MA</t>
  </si>
  <si>
    <t>Apply →  generac.wd5.myworkdayjobs.com/External/job/North-Billerica</t>
  </si>
  <si>
    <t>HARMAN International</t>
  </si>
  <si>
    <t>Apply →  harman.wd3.myworkdayjobs.com/HARMAN/job/Sunnyvale---Califo</t>
  </si>
  <si>
    <t>Healthpeak Properties</t>
  </si>
  <si>
    <t>Forward Deployed Software Engineer Internship</t>
  </si>
  <si>
    <t>Apply →  applyguy.ai/jobs?company=HEALTHPEAK+PROPERTIES%2C+INC.&amp;job</t>
  </si>
  <si>
    <t>Heron Power</t>
  </si>
  <si>
    <t>Intern, Automation Controls Engineer</t>
  </si>
  <si>
    <t>Scotts Valley, CA</t>
  </si>
  <si>
    <t>Apply →  jobs.ashbyhq.com/heron-power/93dd15fe-6c82-412b-a662-c14c7</t>
  </si>
  <si>
    <t>Software Engineering Intern, Device Experiences</t>
  </si>
  <si>
    <t>Apply →  applyguy.ai/jobs?company=HP&amp;job=b4ac60b4-dd12-495c-9d76-f8</t>
  </si>
  <si>
    <t>Intern - Electrical Engineer</t>
  </si>
  <si>
    <t>Apply →  jobs.ashbyhq.com/human-computer-lab/004ff3a2-7e38-4959-8bd</t>
  </si>
  <si>
    <t>Intern - Mechanical Engineer</t>
  </si>
  <si>
    <t>Apply →  jobs.ashbyhq.com/human-computer-lab/63a06836-54f4-4475-9e0</t>
  </si>
  <si>
    <t>New Mexico Manufacturing Technician Internship</t>
  </si>
  <si>
    <t>US, New Mexico, Albuquerque</t>
  </si>
  <si>
    <t>Apply →  intel.wd1.myworkdayjobs.com/External/job/US-New-Mexico-Alb</t>
  </si>
  <si>
    <t>Joby Aviation</t>
  </si>
  <si>
    <t>Software Engineer Intern, Air Taxi</t>
  </si>
  <si>
    <t>Apply →  careers-jobyaviation.icims.com/jobs/5168/software-engineer</t>
  </si>
  <si>
    <t>eVTOL aviation</t>
  </si>
  <si>
    <t>Campus FPGA Engineer (Intern)</t>
  </si>
  <si>
    <t>Apply →  jumptrading.com/hr/job?gh_jid=8003013</t>
  </si>
  <si>
    <t>Keysight Technologies</t>
  </si>
  <si>
    <t>Apply →  jobs.keysight.com/jobs/53649?lang=en-us</t>
  </si>
  <si>
    <t>$63K-68K</t>
  </si>
  <si>
    <t>KnowBe4</t>
  </si>
  <si>
    <t>Software Engineer Intern (Hybrid)</t>
  </si>
  <si>
    <t>Clearwater, FL</t>
  </si>
  <si>
    <t>Apply →  jobright.ai/jobs/info/6a333f87f6b55d12c791859e</t>
  </si>
  <si>
    <t>Layup Parts</t>
  </si>
  <si>
    <t>Apply →  jobs.lever.co/layup/0d8b26c2-f4f9-4dc1-b987-1e496fd616aa</t>
  </si>
  <si>
    <t>Leidos</t>
  </si>
  <si>
    <t>Application Developer Intern</t>
  </si>
  <si>
    <t>Indianapolis, IN</t>
  </si>
  <si>
    <t>Apply →  leidos.wd5.myworkdayjobs.com/External/job/Indianapolis-IN/</t>
  </si>
  <si>
    <t>$48K-87K; defense contractor, verify clearance</t>
  </si>
  <si>
    <t>Apply →  leidos.wd5.myworkdayjobs.com/en-US/external/job/Annapolis-</t>
  </si>
  <si>
    <t>Clearance likely required</t>
  </si>
  <si>
    <t>Co-Op, Software Engineer - Action Runtime</t>
  </si>
  <si>
    <t>Apply →  applyguy.ai/jobs?company=LiveRamp&amp;job=06b512d8-6239-425a-8</t>
  </si>
  <si>
    <t>Co-op</t>
  </si>
  <si>
    <t>Lunon</t>
  </si>
  <si>
    <t>Apply →  jobs.ashbyhq.com/lunon/6700bbef-8be9-46c7-8257-f1a3a0c0aa4</t>
  </si>
  <si>
    <t>Manhattan Associates</t>
  </si>
  <si>
    <t>A.I. Developer Co-Op (Boston, MA)</t>
  </si>
  <si>
    <t>Apply →  applyguy.ai/jobs?company=Manhattan+Associates&amp;job=bebdf235</t>
  </si>
  <si>
    <t>A.I. Developer Co-Op - Boston, MA</t>
  </si>
  <si>
    <t>Apply →  manh.wd5.myworkdayjobs.com/en-US/campus/job/US---Home-Offi</t>
  </si>
  <si>
    <t>Direct ATS link</t>
  </si>
  <si>
    <t>Mariana Minerals</t>
  </si>
  <si>
    <t>Moab, UT</t>
  </si>
  <si>
    <t>Apply →  jobs.ashbyhq.com/marianaminerals/1f8dc663-ae78-44ad-8232-e</t>
  </si>
  <si>
    <t>Digital Production Engineering Intern OR Student Co-Op</t>
  </si>
  <si>
    <t>Engineering Intern Co-op</t>
  </si>
  <si>
    <t>Massey Services</t>
  </si>
  <si>
    <t>BI Software Engineer Intern - Orlando</t>
  </si>
  <si>
    <t>Apply →  applyguy.ai/jobs?company=Massey+Services&amp;job=4e4a76bf-d611</t>
  </si>
  <si>
    <t>Mathtech</t>
  </si>
  <si>
    <t>Apply →  workforcenow.adp.com/mascsr/default/mdf/recruitment/recrui</t>
  </si>
  <si>
    <t>Maven Securities</t>
  </si>
  <si>
    <t>Trader Intern</t>
  </si>
  <si>
    <t>Apply →  job-boards.greenhouse.io/emergingtalent/jobs/8051938</t>
  </si>
  <si>
    <t>Intern - Engineering (Software Development)</t>
  </si>
  <si>
    <t>Apply →  applyguy.ai/jobs?company=Microchip&amp;job=6fce1d21-819b-4531-</t>
  </si>
  <si>
    <t>Intern-Engineering (MEMS Design)</t>
  </si>
  <si>
    <t>Apply →  microchiphr.wd5.myworkdayjobs.com/External/job/MI---Detroi</t>
  </si>
  <si>
    <t>zapply visa col: blank; age 2w</t>
  </si>
  <si>
    <t>Moon</t>
  </si>
  <si>
    <t>Software Engineer Intern - Backend &amp; API</t>
  </si>
  <si>
    <t>Apply →  ats.rippling.com/en-GB/moon/jobs/8b81bca7-1a64-4377-8ea8-8</t>
  </si>
  <si>
    <t>Front-End Engineering Intern</t>
  </si>
  <si>
    <t>Apply →  applyguy.ai/jobs?company=Nebo&amp;job=1652a529-ac47-473b-b12b-</t>
  </si>
  <si>
    <t>Full-Stack Software Engineer (Product) - Intern - 2026-2027</t>
  </si>
  <si>
    <t>Apply →  builtinsf.com/job/full-stack-software-engineer-product-int</t>
  </si>
  <si>
    <t>2026-2027 cycle</t>
  </si>
  <si>
    <t>Apply →  applyguy.ai/jobs?company=Netic&amp;job=f07d961c-37fd-41e1-84bb</t>
  </si>
  <si>
    <t>2026-27 flexible start</t>
  </si>
  <si>
    <t>Full-Stack Software Engineer Intern, Product</t>
  </si>
  <si>
    <t>Lexington, TN</t>
  </si>
  <si>
    <t>Apply →  nidec.wd1.myworkdayjobs.com/nidec/job/North-AmericaUSATenn</t>
  </si>
  <si>
    <t>Mankato, MN</t>
  </si>
  <si>
    <t>Apply →  nidec.wd1.myworkdayjobs.com/nidec/job/North-AmericaUSAMinn</t>
  </si>
  <si>
    <t>Software Development Co-op</t>
  </si>
  <si>
    <t>Naperville, IL</t>
  </si>
  <si>
    <t>Apply →  jobs.lever.co/palantir/a483f41b-0da9-42ea-8ed6-cbf6eb93cc6</t>
  </si>
  <si>
    <t>Parsons</t>
  </si>
  <si>
    <t>Civil Engineering Intern</t>
  </si>
  <si>
    <t>Pasadena, CA</t>
  </si>
  <si>
    <t>Apply →  parsons.wd5.myworkdayjobs.com/search/job/US---CA-Pasadena/</t>
  </si>
  <si>
    <t>zapply visa col: blank; defense/gov - verify US-person rule</t>
  </si>
  <si>
    <t>PCS Software</t>
  </si>
  <si>
    <t>Internship - Technical Software Support Team (part-time)</t>
  </si>
  <si>
    <t>Apply →  recruiting.paylocity.com/Recruiting/Jobs/Details/4368457</t>
  </si>
  <si>
    <t>IT &amp; Cybersecurity Leadership Development Internship Program - Summer 2027</t>
  </si>
  <si>
    <t>Persistent Systems</t>
  </si>
  <si>
    <t>Intern - Embedded Software Engineer - Fall 2026</t>
  </si>
  <si>
    <t>Apply →  careers-persistentsystems.icims.com/jobs/2272/intern---emb</t>
  </si>
  <si>
    <t>tactical radio - US person likely</t>
  </si>
  <si>
    <t>Software Engineer, Intern</t>
  </si>
  <si>
    <t>Apply →  builtinsf.com/job/software-engineer-intern/10123262</t>
  </si>
  <si>
    <t>RadicalX</t>
  </si>
  <si>
    <t>Apply →  builtinsf.com/job/software-engineer-intern/9354805</t>
  </si>
  <si>
    <t>Schweitzer Engineering Laboratories</t>
  </si>
  <si>
    <t>Apply →  selinc.wd1.myworkdayjobs.com/SEL/job/Texas---Houston/Engin</t>
  </si>
  <si>
    <t>Apply →  applyguy.ai/jobs?company=Schweitzer+Engineering+Laboratori</t>
  </si>
  <si>
    <t>Pullman, WA</t>
  </si>
  <si>
    <t>Serval</t>
  </si>
  <si>
    <t>Apply →  builtinsf.com/job/software-engineer-intern/10156941</t>
  </si>
  <si>
    <t>Apply →  jobs.ashbyhq.com/serval/d7fb089c-db8a-4877-a5f3-73a09e67f5</t>
  </si>
  <si>
    <t>Sixtyfour</t>
  </si>
  <si>
    <t>Full-Stack Software Engineering Intern</t>
  </si>
  <si>
    <t>Apply →  workatastartup.com/jobs/85257</t>
  </si>
  <si>
    <t>2025-11-17</t>
  </si>
  <si>
    <t>YC X25 startup; older posting</t>
  </si>
  <si>
    <t>SK hynix</t>
  </si>
  <si>
    <t>Test Automation Software Engineer Intern</t>
  </si>
  <si>
    <t>Apply →  applyguy.ai/jobs?company=SK+hynix+memory+solutions+America</t>
  </si>
  <si>
    <t>SK Hynix Memory Solutions America</t>
  </si>
  <si>
    <t>Apply →  job-boards.greenhouse.io/skhynixmemorysolutionsamericainc/</t>
  </si>
  <si>
    <t>Semiconductor memory</t>
  </si>
  <si>
    <t>Smiths Group</t>
  </si>
  <si>
    <t>Mechanical Engineering Co-Op</t>
  </si>
  <si>
    <t>Morton Grove, IL</t>
  </si>
  <si>
    <t>Apply →  jobs.smartrecruiters.com/SmithsGroup2/744000138415594</t>
  </si>
  <si>
    <t>Sony Electronics</t>
  </si>
  <si>
    <t>Apply →  jobright.ai/jobs/info/6a32ca8cce501060b5cea4a6</t>
  </si>
  <si>
    <t>Mobile Software Engineer Intern</t>
  </si>
  <si>
    <t>Apply →  ats.rippling.com/en-GB/spreeai/jobs/c52472cb-2671-45d7-b66</t>
  </si>
  <si>
    <t>Drexel Co-op: Software Engineering/Full Stack</t>
  </si>
  <si>
    <t>Apply →  applyguy.ai/jobs?company=SRI+International&amp;job=24e00f51-bf</t>
  </si>
  <si>
    <t>Drexel co-op program specific</t>
  </si>
  <si>
    <t>Civil Engineering Intern/Co-op - Transportation</t>
  </si>
  <si>
    <t>Rochelle Park, NJ</t>
  </si>
  <si>
    <t>Starfish</t>
  </si>
  <si>
    <t>Apply →  applyguy.ai/jobs?company=Starfish&amp;job=76d7b2a1-78c2-4e6f-9</t>
  </si>
  <si>
    <t>Susquehanna Investment Group</t>
  </si>
  <si>
    <t>Apply →  careers.sig.com/intern-co-op-technology/jobs/10838?lang=en</t>
  </si>
  <si>
    <t>Tempo</t>
  </si>
  <si>
    <t>Platform Software Engineering Intern</t>
  </si>
  <si>
    <t>Apply →  applyguy.ai/jobs?company=Tempo&amp;job=9ecdc530-929c-4500-9391</t>
  </si>
  <si>
    <t>Software Engineering Intern - Frontend</t>
  </si>
  <si>
    <t>Apply →  jobs.ashbyhq.com/tessera-labs/4614d053-2c8f-4317-8cd2-1d12</t>
  </si>
  <si>
    <t>Touchdown Labs</t>
  </si>
  <si>
    <t>Apply →  touchdown-labs.com/careers/mts-intern/?jr_id=6a68292c50dec</t>
  </si>
  <si>
    <t>Algorithmic Trader Intern</t>
  </si>
  <si>
    <t>Apply →  job-boards.greenhouse.io/transmarketgroup/jobs/5151581007?</t>
  </si>
  <si>
    <t>U.S. Bank</t>
  </si>
  <si>
    <t>Mainframe Software Engineering Apprentice 2</t>
  </si>
  <si>
    <t>Hopkins, MN</t>
  </si>
  <si>
    <t>Apply →  usbank.wd1.myworkdayjobs.com/us_bank_careers/job/Hopkins-M</t>
  </si>
  <si>
    <t>Product Marketing Internship - Summer 2027</t>
  </si>
  <si>
    <t>zapply visa col: blank; age 2d</t>
  </si>
  <si>
    <t>15</t>
  </si>
  <si>
    <t>AcreTrader</t>
  </si>
  <si>
    <t>Data Intern</t>
  </si>
  <si>
    <t>Fayetteville, AR</t>
  </si>
  <si>
    <t>Apply →  ats.rippling.com/acretrader-jobs/jobs/e0192aa0-bd65-4262-8</t>
  </si>
  <si>
    <t>Ameren</t>
  </si>
  <si>
    <t>Data Analytics Co-op</t>
  </si>
  <si>
    <t>Apply →  ameren.wd1.myworkdayjobs.com/External/job/St-Louis-MO/Data</t>
  </si>
  <si>
    <t>Arcadis</t>
  </si>
  <si>
    <t>GIS Intern</t>
  </si>
  <si>
    <t>Apply →  ebcs.fa.em2.oraclecloud.com/hcmUI/CandidateExperience/en/s</t>
  </si>
  <si>
    <t>Geospatial data</t>
  </si>
  <si>
    <t>Arizona State University</t>
  </si>
  <si>
    <t>Management Intern - Career Data and Analytics</t>
  </si>
  <si>
    <t>Apply →  asu.wd1.myworkdayjobs.com/ASUStaffCareers/job/Campus-Tempe</t>
  </si>
  <si>
    <t>BMW Group</t>
  </si>
  <si>
    <t>Intern, Data Scientist - DSSC Ohio</t>
  </si>
  <si>
    <t>Columbus, OH; Paramus, NJ</t>
  </si>
  <si>
    <t>Apply →  jobs.bmwgroup.com/job/Columbus-Intern,-Data-Scientist-DSSC</t>
  </si>
  <si>
    <t>Circle K</t>
  </si>
  <si>
    <t>Analyst Intern - Global Fuels</t>
  </si>
  <si>
    <t>Apply →  circlek.wd3.myworkdayjobs.com/circlekstorejobs/job/Nonstor</t>
  </si>
  <si>
    <t>Delta Air Lines</t>
  </si>
  <si>
    <t>Reservations Co-op (Spring 2027, data analytics / process improvement)</t>
  </si>
  <si>
    <t>Apply →  delta.avature.net/en_US/careers/JobDetail?jobid=32928</t>
  </si>
  <si>
    <t>East Penn Manufacturing Company</t>
  </si>
  <si>
    <t>Ann Arbor, MI</t>
  </si>
  <si>
    <t>Apply →  careers-eastpennmanufacturing.icims.com/jobs/30007/job</t>
  </si>
  <si>
    <t>Power BI &amp; Analytics Intern</t>
  </si>
  <si>
    <t>Apply →  careers-eastpennmanufacturing.icims.com/jobs/30020/job</t>
  </si>
  <si>
    <t>Eight Sleep</t>
  </si>
  <si>
    <t>Graphic Design Intern - NYC</t>
  </si>
  <si>
    <t>Apply →  jobs.ashbyhq.com/eightsleep/0adea282-8c47-4c3b-962c-e5658e</t>
  </si>
  <si>
    <t>Intern - Office of the CEO</t>
  </si>
  <si>
    <t>Apply →  job-boards.greenhouse.io/eulerity/jobs/4701817006</t>
  </si>
  <si>
    <t>Excel Sports Management</t>
  </si>
  <si>
    <t>Fall 2026 Intern, Analytics</t>
  </si>
  <si>
    <t>Apply →  job-boards.greenhouse.io/excelsportsmanagement/jobs/471658</t>
  </si>
  <si>
    <t>Federal Reserve System</t>
  </si>
  <si>
    <t>Graduate Intern - Statistical Analysis</t>
  </si>
  <si>
    <t>Apply →  rb.wd5.myworkdayjobs.com/en-US/FRS/job/Boston-MA/Graduate-</t>
  </si>
  <si>
    <t>Graduate-level; Fed roles often restrict to US persons</t>
  </si>
  <si>
    <t>Global Infrastructure</t>
  </si>
  <si>
    <t>Alternative Delivery Project Analytics Intern</t>
  </si>
  <si>
    <t>Apply →  gi.wd1.myworkdayjobs.com/Global_Infrastructure/job/US--IL-</t>
  </si>
  <si>
    <t>International Rescue Committee (IRC)</t>
  </si>
  <si>
    <t>Data Integration &amp; Reporting Intern</t>
  </si>
  <si>
    <t>Apply →  theirc.wd1.myworkdayjobs.com/en-US/External_Careers/job/Sa</t>
  </si>
  <si>
    <t>Unpaid internship</t>
  </si>
  <si>
    <t>Louisiana Blue</t>
  </si>
  <si>
    <t>Data Modeler Intern</t>
  </si>
  <si>
    <t>Baton Rouge, LA</t>
  </si>
  <si>
    <t>Apply →  bcbsla.wd1.myworkdayjobs.com/Generation_Blue/job/Corporate</t>
  </si>
  <si>
    <t>Healthcare Price and Transparency Data Analyst Intern</t>
  </si>
  <si>
    <t>Operational Reporting &amp; Data Analyst Intern</t>
  </si>
  <si>
    <t>National Interstate Insurance</t>
  </si>
  <si>
    <t>Catastrophe Modeling &amp; Data Analytics Intern (Fall 2026)</t>
  </si>
  <si>
    <t>Apply →  gaig.wd1.myworkdayjobs.com/GAIG_External/job/Cincinnati-OH</t>
  </si>
  <si>
    <t>Photonics Data Engineer Intern - Data Management</t>
  </si>
  <si>
    <t>Apply →  job-boards.greenhouse.io/queracomputinginc/jobs/5378366008</t>
  </si>
  <si>
    <t>Red Bull</t>
  </si>
  <si>
    <t>Morristown, NJ</t>
  </si>
  <si>
    <t>Apply →  jobs.smartrecruiters.com/RedBull/744000139168339</t>
  </si>
  <si>
    <t>Toshiba Global Commerce</t>
  </si>
  <si>
    <t>Product &amp; Business Analytics Intern</t>
  </si>
  <si>
    <t>Walt Disney</t>
  </si>
  <si>
    <t>Commercial Data Science Intern</t>
  </si>
  <si>
    <t>Apply →  disney.wd5.myworkdayjobs.com/en-US/disneycareer/job/Lake-B</t>
  </si>
  <si>
    <t>Warner Bros.</t>
  </si>
  <si>
    <t>Sports Growth Strategy and Data Intern - Fall 2026</t>
  </si>
  <si>
    <t>Zello</t>
  </si>
  <si>
    <t>Analytics Intern</t>
  </si>
  <si>
    <t>Apply →  jobs.ashbyhq.com/Zello/3453d476-7b75-4938-8cff-502d1575859</t>
  </si>
  <si>
    <t>Zuru</t>
  </si>
  <si>
    <t>Apply →  jobs.ashbyhq.com/zuru/750dea66-6f5a-4622-80d6-b6289954d3d0</t>
  </si>
  <si>
    <t>14</t>
  </si>
  <si>
    <t>Business Data Analytics Intern - Channel Coverage</t>
  </si>
  <si>
    <t>Sparks, MD (+53)</t>
  </si>
  <si>
    <t>Quality Analytics Engineer Intern</t>
  </si>
  <si>
    <t>Data Engineer - Operational Support - Co-op</t>
  </si>
  <si>
    <t>Apply →  jobs.ashbyhq.com/centerfield/916dcf42-d69a-4f00-875a-f8fe6</t>
  </si>
  <si>
    <t>Citizens Financial Group</t>
  </si>
  <si>
    <t>Data Science Graduate Intern</t>
  </si>
  <si>
    <t>Providence, RI; Columbus, OH</t>
  </si>
  <si>
    <t>Apply →  hcgn.fa.us2.oraclecloud.com/hcmUI/CandidateExperience/en/s</t>
  </si>
  <si>
    <t>Eurofins</t>
  </si>
  <si>
    <t>Lancaster, PA</t>
  </si>
  <si>
    <t>Apply →  jobs.smartrecruiters.com/Eurofins/744000131132249</t>
  </si>
  <si>
    <t>Evolver</t>
  </si>
  <si>
    <t>Applied Data Science Intern</t>
  </si>
  <si>
    <t>Apply →  job-boards.greenhouse.io/evolver/jobs/4254540009</t>
  </si>
  <si>
    <t>Faire</t>
  </si>
  <si>
    <t>Apply →  boards.greenhouse.io/faire/jobs/8376377002?gh_jid=83763770</t>
  </si>
  <si>
    <t>First Quality</t>
  </si>
  <si>
    <t>Analytics Engineer Intern/Co-op</t>
  </si>
  <si>
    <t>Anderson, SC</t>
  </si>
  <si>
    <t>Apply →  firstquality.wd5.myworkdayjobs.com/firstquality/job/US-SC-</t>
  </si>
  <si>
    <t>Gordon Food Service</t>
  </si>
  <si>
    <t>Apply →  gfs.wd5.myworkdayjobs.com/usjobs-gen-gfs/job/Atlanta-Georg</t>
  </si>
  <si>
    <t>Intern, Production Data Analytics</t>
  </si>
  <si>
    <t>Apply →  job-boards.greenhouse.io/harbingermotors/jobs/5164341007</t>
  </si>
  <si>
    <t>IDEXX</t>
  </si>
  <si>
    <t>Data Engineer - Incentive Compensation Co-Op</t>
  </si>
  <si>
    <t>Westbrook, ME</t>
  </si>
  <si>
    <t>Apply →  idexx.wd1.myworkdayjobs.com/IDEXX/job/Westbrook-ME/Data-En</t>
  </si>
  <si>
    <t>iSpot.tv</t>
  </si>
  <si>
    <t>Apply →  job-boards.greenhouse.io/ispottv/jobs/4703297005</t>
  </si>
  <si>
    <t>Intern, Data Science</t>
  </si>
  <si>
    <t>Apply →  liveramp.wd5.myworkdayjobs.com/LiveRampCareers/job/San-Fra</t>
  </si>
  <si>
    <t>IT R&amp;I Data Science Intern</t>
  </si>
  <si>
    <t>Compliance Data Scientist Co-op</t>
  </si>
  <si>
    <t>Ohio State University</t>
  </si>
  <si>
    <t>Apply →  osu.wd1.myworkdayjobs.com/OSUCareers/job/Columbus-Campus/I</t>
  </si>
  <si>
    <t>Moscow, ID</t>
  </si>
  <si>
    <t>Apply →  selinc.wd1.myworkdayjobs.com/SEL/job/Idaho---Moscow/Data-A</t>
  </si>
  <si>
    <t>Apply →  selinc.wd1.myworkdayjobs.com/SEL/job/Washington---Pullman/</t>
  </si>
  <si>
    <t>Snap Finance</t>
  </si>
  <si>
    <t>Texas</t>
  </si>
  <si>
    <t>Apply →  snapfinance.wd1.myworkdayjobs.com/snap_external_careers/jo</t>
  </si>
  <si>
    <t>Syneos Health</t>
  </si>
  <si>
    <t>Data Science / Analytics Intern - Technology Solutions</t>
  </si>
  <si>
    <t>Morrisville, NC</t>
  </si>
  <si>
    <t>Apply →  syneoshealth.wd12.myworkdayjobs.com/Syneos_Health_External</t>
  </si>
  <si>
    <t>Apply →  tencent.wd1.myworkdayjobs.com/Tencent_Careers/job/US-Calif</t>
  </si>
  <si>
    <t>W. R. Berkley</t>
  </si>
  <si>
    <t>Business and Data Analyst Intern</t>
  </si>
  <si>
    <t>Farmington, CT</t>
  </si>
  <si>
    <t>Apply →  careers-berkley.icims.com/jobs/13507/job?mobile=true&amp;needs</t>
  </si>
  <si>
    <t>Zone 5 Technologies</t>
  </si>
  <si>
    <t>Manufacturing Data Analyst Intern</t>
  </si>
  <si>
    <t>San Luis Obispo, CA</t>
  </si>
  <si>
    <t>Apply →  job-boards.greenhouse.io/zone5technologies/jobs/5231405008</t>
  </si>
  <si>
    <t>13</t>
  </si>
  <si>
    <t>American Heart Association</t>
  </si>
  <si>
    <t>Apply →  careers-heart.icims.com/jobs/17663/intern%2c-data-science-</t>
  </si>
  <si>
    <t>Embedded Software Engineering Intern - Fall</t>
  </si>
  <si>
    <t>Apply →  jobs.ashbyhq.com/atomicsemi/de448098-ffc6-4b99-b341-d6a587</t>
  </si>
  <si>
    <t>Hardware R&amp;D Engineering Intern (Fall 2026)</t>
  </si>
  <si>
    <t>Apply →  careers.formlabs.com/job/8097694/apply/?gh_jid=8097694</t>
  </si>
  <si>
    <t>$82K-101K; Formlabs sponsors visas</t>
  </si>
  <si>
    <t>LEGO</t>
  </si>
  <si>
    <t>Firmware Engineering Co-Op - Fall 2026</t>
  </si>
  <si>
    <t>Apply →  lego.wd103.myworkdayjobs.com/en-US/lego_executive/job/Bost</t>
  </si>
  <si>
    <t>LEGO Group</t>
  </si>
  <si>
    <t>Apply →  lego.wd103.myworkdayjobs.com/lego_executive/job/Boston-Hub</t>
  </si>
  <si>
    <t>Power, Analog and Mixed-Signal IC Product Engineer Intern</t>
  </si>
  <si>
    <t>Chandler, AZ</t>
  </si>
  <si>
    <t>Data Science Co-op - Test Automation</t>
  </si>
  <si>
    <t>Market Intelligence Intern - Fall 2026</t>
  </si>
  <si>
    <t>Apply →  prizepicks.com/position?gh_jid=7753475003</t>
  </si>
  <si>
    <t>Sedgwick</t>
  </si>
  <si>
    <t>Apply →  sedgwick.wd1.myworkdayjobs.com/en-US/sedgwick/job/Telecomm</t>
  </si>
  <si>
    <t>Telecommuter TX</t>
  </si>
  <si>
    <t>TMEIC</t>
  </si>
  <si>
    <t>Intern - Applications, AI and Machine Learning (Fall 2026)</t>
  </si>
  <si>
    <t>Roanoke, VA</t>
  </si>
  <si>
    <t>Apply →  apply.workable.com/tmeic-corporation-americas/j/FD4C9770FF</t>
  </si>
  <si>
    <t>Req ET26021</t>
  </si>
  <si>
    <t>Embedded Software Engineer Intern - Fall 2026</t>
  </si>
  <si>
    <t>Apply →  zipline.com/open-roles?gh_jid=7765240003</t>
  </si>
  <si>
    <t>System Test Automation Intern (Fall 2026)</t>
  </si>
  <si>
    <t>Apply →  zipline.com/open-roles?gh_jid=7786445003</t>
  </si>
  <si>
    <t>12</t>
  </si>
  <si>
    <t>Argonne National Laboratory</t>
  </si>
  <si>
    <t>Business Systems Administration Internship</t>
  </si>
  <si>
    <t>Remote (US); Woodridge, IL</t>
  </si>
  <si>
    <t>Apply →  argonne.wd1.myworkdayjobs.com/EDU_PUB/job/Lemont-IL-USA/Bu</t>
  </si>
  <si>
    <t>Base Power Company</t>
  </si>
  <si>
    <t>Apply →  jobs.ashbyhq.com/base-power/b6b2332e-1226-4575-b2c9-9e5258</t>
  </si>
  <si>
    <t>BlackEdge Capital</t>
  </si>
  <si>
    <t>Apply →  applyguy.ai/jobs?company=BlackEdge+Capital&amp;job=2cd125b1-a2</t>
  </si>
  <si>
    <t>11</t>
  </si>
  <si>
    <t>Center for Internet Security</t>
  </si>
  <si>
    <t>Security Engineer Intern</t>
  </si>
  <si>
    <t>Apply →  cisecurity.wd1.myworkdayjobs.com/CIS_External_Career_Site/</t>
  </si>
  <si>
    <t>10</t>
  </si>
  <si>
    <t>Alteryx</t>
  </si>
  <si>
    <t>Revenue Operations (Insights &amp; Analytics) Intern</t>
  </si>
  <si>
    <t>Apply →  alteryx.wd108.myworkdayjobs.com/AlteryxCareers/job/Irvine-</t>
  </si>
  <si>
    <t>ASSA ABLOY</t>
  </si>
  <si>
    <t>IT Intern - Security Analytics &amp; Data Management</t>
  </si>
  <si>
    <t>New Haven, CT</t>
  </si>
  <si>
    <t>Apply →  assaabloy.jobs2web.com/job/New-Haven-IT-Intern-Security-An</t>
  </si>
  <si>
    <t>Business Analytics Internship</t>
  </si>
  <si>
    <t>Apply →  careers-axway.icims.com/jobs/8663/business-analytics-inter</t>
  </si>
  <si>
    <t>Data Analyst Internship</t>
  </si>
  <si>
    <t>Apply →  apply.workable.com/connectprep/j/E4655645B8/</t>
  </si>
  <si>
    <t>DEUNA</t>
  </si>
  <si>
    <t>Apply →  jobs.lever.co/deuna/060457fb-42c4-4150-a8fa-e2c312a88e6a/a</t>
  </si>
  <si>
    <t>East Penn Manufacturing</t>
  </si>
  <si>
    <t>Apply →  careers-eastpennmanufacturing.icims.com/jobs/30007/data-en</t>
  </si>
  <si>
    <t>Data &amp; Analytics Intern</t>
  </si>
  <si>
    <t>EV Realty</t>
  </si>
  <si>
    <t>Intern - Data Analytics</t>
  </si>
  <si>
    <t>Apply →  jobs.lever.co/evrealty-us/0274f48f-9b19-4bed-bf6a-5e02a2b1</t>
  </si>
  <si>
    <t>2026-05-24</t>
  </si>
  <si>
    <t>EVRAZ</t>
  </si>
  <si>
    <t>Inventory Data Analyst Intern</t>
  </si>
  <si>
    <t>Pueblo, CO</t>
  </si>
  <si>
    <t>Apply →  evrazna.wd5.myworkdayjobs.com/en-US/evraz/job/Pueblo-CO-US</t>
  </si>
  <si>
    <t>FC Cincinnati</t>
  </si>
  <si>
    <t>Academy Performance Analyst Intern</t>
  </si>
  <si>
    <t>Apply →  job-boards.greenhouse.io/fccincinnati/jobs/7741524003</t>
  </si>
  <si>
    <t>Sports analytics; Winter 2027</t>
  </si>
  <si>
    <t>Apply →  job-boards.greenhouse.io/integrainterns/jobs/5134523008</t>
  </si>
  <si>
    <t>JM Family Enterprises</t>
  </si>
  <si>
    <t>Fixed Operations Data Analyst Intern</t>
  </si>
  <si>
    <t>Deerfield Beach, FL</t>
  </si>
  <si>
    <t>Apply →  jmfamily.wd1.myworkdayjobs.com/en-US/jmfamily_external/job</t>
  </si>
  <si>
    <t>Magnera</t>
  </si>
  <si>
    <t>IT Data Analyst Intern</t>
  </si>
  <si>
    <t>Evansville, IN</t>
  </si>
  <si>
    <t>Apply →  careers-magnera.icims.com/jobs/27241/it-data-analyst-inter</t>
  </si>
  <si>
    <t>Data Engineering Intern or Student Co-Op</t>
  </si>
  <si>
    <t>Business Analyst Internship</t>
  </si>
  <si>
    <t>Apply →  jobs.smartrecruiters.com/NorthwesternMutual/85751677</t>
  </si>
  <si>
    <t>PNC Financial Services</t>
  </si>
  <si>
    <t>Data, Modeling, and Analytics Undergraduate Internship</t>
  </si>
  <si>
    <t>Apply →  pnc.wd5.myworkdayjobs.com/External/job/PA---Pittsburgh-152</t>
  </si>
  <si>
    <t>Trane Technologies</t>
  </si>
  <si>
    <t>Collections Data Analyst Intern</t>
  </si>
  <si>
    <t>Winona, MN</t>
  </si>
  <si>
    <t>Apply →  careers.tranetechnologies.com/global/en/job/JR-4222</t>
  </si>
  <si>
    <t>Vanguard</t>
  </si>
  <si>
    <t>College to Corporate IT Internship, Data Analyst</t>
  </si>
  <si>
    <t>Apply →  vanguard.wd5.myworkdayjobs.com/en-US/contractors_restricte</t>
  </si>
  <si>
    <t>College to Corporate IT Internship, Data Science</t>
  </si>
  <si>
    <t>Malvern, PA</t>
  </si>
  <si>
    <t>9</t>
  </si>
  <si>
    <t>Spaceflight Hardware Intern - Fall 2026</t>
  </si>
  <si>
    <t>Apply →  pae.wd1.myworkdayjobs.com/en-US/amentum_careers/job/US-TX-</t>
  </si>
  <si>
    <t>Co-Op, Embedded Software Test Engineer</t>
  </si>
  <si>
    <t>Apply →  jobs.eu.lever.co/cirrus/2926421c-691a-434a-ae59-c828e7fcbf</t>
  </si>
  <si>
    <t>Apply →  jobs.ashbyhq.com/fab2/de448098-ffc6-4b99-b341-d6a5874f390f</t>
  </si>
  <si>
    <t>Inogen</t>
  </si>
  <si>
    <t>Firmware Engineer Intern</t>
  </si>
  <si>
    <t>Apply →  jobs.jobvite.com/inogen/job/om2zAfwh</t>
  </si>
  <si>
    <t>Corporate Analyst Development Program Summer Analyst</t>
  </si>
  <si>
    <t>New York, NY (multiple US)</t>
  </si>
  <si>
    <t>Midmark</t>
  </si>
  <si>
    <t>Firmware Engineering Intern/Co-op</t>
  </si>
  <si>
    <t>Vandalia, OH</t>
  </si>
  <si>
    <t>Apply →  hcor.fa.us2.oraclecloud.com/hcmUI/CandidateExperience/en/s</t>
  </si>
  <si>
    <t>2026-02-05</t>
  </si>
  <si>
    <t>MKS Instruments</t>
  </si>
  <si>
    <t>Fall 2026 Technical Product Marketing Undergraduate Intern</t>
  </si>
  <si>
    <t>Apply →  mksinst.wd1.myworkdayjobs.com/MKSCareersUniversity/job/Irv</t>
  </si>
  <si>
    <t>zapply visa col: blank; age 6d</t>
  </si>
  <si>
    <t>Information Technology Co-Op/Intern - Spring 2027</t>
  </si>
  <si>
    <t>IT co-op</t>
  </si>
  <si>
    <t>Graduate Year-Round Intern - Transportation Systems Analysis</t>
  </si>
  <si>
    <t>Apply →  builtinsf.com/job/embedded-software-engineer-intern-fall-2</t>
  </si>
  <si>
    <t>Apply →  boards.greenhouse.io/redwoodmaterials/jobs/6126784004?gh_j</t>
  </si>
  <si>
    <t>$85K-99K</t>
  </si>
  <si>
    <t>Fall 2026: Industrial Design Co-op (Advanced Manufacturing)</t>
  </si>
  <si>
    <t>Apply →  job-boards.greenhouse.io/sharkninjaoperatingllc/jobs/46550</t>
  </si>
  <si>
    <t>zapply visa col: blank; age 5mo</t>
  </si>
  <si>
    <t>Embedded Software Co-Op Spring 2027</t>
  </si>
  <si>
    <t>Apply →  specteraerospace.bamboohr.com/careers/119</t>
  </si>
  <si>
    <t>Embedded Software Engineer Co-op</t>
  </si>
  <si>
    <t>Apply →  careers-sri.icims.com/jobs/6431/job</t>
  </si>
  <si>
    <t>Terranova</t>
  </si>
  <si>
    <t>Embedded Systems Intern</t>
  </si>
  <si>
    <t>Apply →  jobs.ashbyhq.com/terranova/8fdce1f7-a1df-4e64-8f10-c78771a</t>
  </si>
  <si>
    <t>Uber Freight</t>
  </si>
  <si>
    <t>Data Scientist Intern - Fall 2026</t>
  </si>
  <si>
    <t>Apply →  job-boards.greenhouse.io/uberfreight/jobs/5194491008</t>
  </si>
  <si>
    <t>Newly posted</t>
  </si>
  <si>
    <t>WindBorne Systems</t>
  </si>
  <si>
    <t>Apply →  jobs.ashbyhq.com/windborne-systems/75c5c65c-8179-4ca0-9659</t>
  </si>
  <si>
    <t>Quality &amp; Manufacturing Intern (Spring 2027)</t>
  </si>
  <si>
    <t>Apply →  zipline.com/open-roles?gh_jid=7824311003</t>
  </si>
  <si>
    <t>8</t>
  </si>
  <si>
    <t>ASIC Design Engineer Intern</t>
  </si>
  <si>
    <t>Firmware Engineering Intern</t>
  </si>
  <si>
    <t>Apply →  jobs.ashbyhq.com/base-power/a8ee9a66-e90b-42c2-a4a2-28d997</t>
  </si>
  <si>
    <t>Apply →  jobs.ashbyhq.com/base-power/f22cee0e-55d9-42cd-806e-1c1fc7</t>
  </si>
  <si>
    <t>Cybersecurity Intern, Security Operations</t>
  </si>
  <si>
    <t>Franklin Lakes, NJ</t>
  </si>
  <si>
    <t>SkillBridge eligible; H-1B sponsor</t>
  </si>
  <si>
    <t>RF Cyber Lab Intern</t>
  </si>
  <si>
    <t>Apply →  cmu.wd5.myworkdayjobs.com/cmu/job/Pittsburgh-PA/RF-Cyber-L</t>
  </si>
  <si>
    <t>Software Engineer - Embedded Intern</t>
  </si>
  <si>
    <t>Apply →  careers.dovercorporation.com/job/Austin-Engineer,-SW-Embed</t>
  </si>
  <si>
    <t>Fluxergy</t>
  </si>
  <si>
    <t>Apply →  jobs.lever.co/fluxergy-2/c592763e-56ba-4d20-b751-3a4574470</t>
  </si>
  <si>
    <t>Intern Firmware Engineering</t>
  </si>
  <si>
    <t>Reno, NV</t>
  </si>
  <si>
    <t>Apply →  generac.wd5.myworkdayjobs.com/en-US/external/job/Reno-NV--</t>
  </si>
  <si>
    <t>Intern, Cybersecurity</t>
  </si>
  <si>
    <t>Apply →  job-boards.greenhouse.io/harbingermotors/jobs/5164361007</t>
  </si>
  <si>
    <t>Security Operations (Cybersecurity) internship</t>
  </si>
  <si>
    <t>Apply →  idexx.wd1.myworkdayjobs.com/IDEXX/job/Westbrook-ME/Securit</t>
  </si>
  <si>
    <t>Security Analyst Intern</t>
  </si>
  <si>
    <t>Analog and Mixed-Signal IC Design Engineer Intern</t>
  </si>
  <si>
    <t>Apply →  boards.greenhouse.io/neuralink/jobs/7565469003?gh_jid=7565</t>
  </si>
  <si>
    <t>zapply visa col: Sponsor; age 5mo</t>
  </si>
  <si>
    <t>Primerica</t>
  </si>
  <si>
    <t>Fraud Analyst Intern</t>
  </si>
  <si>
    <t>Duluth, GA</t>
  </si>
  <si>
    <t>Apply →  primerica.wd1.myworkdayjobs.com/pri/job/Duluth-GA/Fraud-An</t>
  </si>
  <si>
    <t>Designer/Drafter Intern</t>
  </si>
  <si>
    <t>Fairview Heights, IL</t>
  </si>
  <si>
    <t>Apply →  selinc.wd1.myworkdayjobs.com/SEL/job/Illinois---Fairview-H</t>
  </si>
  <si>
    <t>zapply visa col: H-1B Co.</t>
  </si>
  <si>
    <t>Engineering Intern - Security</t>
  </si>
  <si>
    <t>Apply →  selinc.wd1.myworkdayjobs.com/SEL/job/North-Carolina---Char</t>
  </si>
  <si>
    <t>Skyworks Solutions</t>
  </si>
  <si>
    <t>Analog IC Design Co-op</t>
  </si>
  <si>
    <t>Apply →  careers.skyworksinc.com/job/Irvine-Analog-IC-Design-Summer</t>
  </si>
  <si>
    <t>Xebia</t>
  </si>
  <si>
    <t>Internship Program - Multiple Teams</t>
  </si>
  <si>
    <t>Apply →  job-boards.greenhouse.io/xebiausa/jobs/5988141004</t>
  </si>
  <si>
    <t>5</t>
  </si>
  <si>
    <t>Macro Analyst Intern</t>
  </si>
  <si>
    <t>Apply →  careers.sig.com/jobs/10725</t>
  </si>
  <si>
    <t>4</t>
  </si>
  <si>
    <t>Software Engineer Intern - Chip Design Tools</t>
  </si>
  <si>
    <t>Apply →  jobs.ashbyhq.com/fab2/907766af-a3c0-49a3-b01e-246baa437d10</t>
  </si>
  <si>
    <t>Chip design tooling</t>
  </si>
  <si>
    <t>BAE Systems</t>
  </si>
  <si>
    <t>Systems Software Engineering Intern, Embedded Systems</t>
  </si>
  <si>
    <t>Apply →  jobs.baesystems.com/global/en/job/BAE1US126218BREXTERNAL/S</t>
  </si>
  <si>
    <t>Defense; clearance likely</t>
  </si>
  <si>
    <t>Bio-Techne</t>
  </si>
  <si>
    <t>Apply →  biotechne.wd5.myworkdayjobs.com/Biotechne/job/San-Jose-CA/</t>
  </si>
  <si>
    <t>Validation Intern (Year-Round)</t>
  </si>
  <si>
    <t>Kokomo, IN</t>
  </si>
  <si>
    <t>Apply →  borgwarner.wd5.myworkdayjobs.com/BorgWarner_Careers/job/Ko</t>
  </si>
  <si>
    <t>zapply visa col: blank; age 3h</t>
  </si>
  <si>
    <t>Manufacturing Intern</t>
  </si>
  <si>
    <t>Electrical Engineer Intern, Implant Embedded Systems</t>
  </si>
  <si>
    <t>Apply →  boards.greenhouse.io/neuralink/jobs/7702527003?gh_jid=7702</t>
  </si>
  <si>
    <t>Co-Op Custom Design Marketing</t>
  </si>
  <si>
    <t>Nidec Aerospace Internship &amp; Graduate Programs</t>
  </si>
  <si>
    <t>Apply →  nidec.wd1.myworkdayjobs.com/nidec/job/Atlanta-GA/Nidec-Aer</t>
  </si>
  <si>
    <t>Nightwing</t>
  </si>
  <si>
    <t>Software / Hardware Engineering - Intern</t>
  </si>
  <si>
    <t>Apply →  nwis.wd12.myworkdayjobs.com/en-US/nw/job/Annapolis-Junctio</t>
  </si>
  <si>
    <t>clearance very likely (NSA-area site)</t>
  </si>
  <si>
    <t>Digital Physical Design (P&amp;R) Intern</t>
  </si>
  <si>
    <t>Apply →  nxp.wd3.myworkdayjobs.com/Careers/job/Chandler-Office/Digi</t>
  </si>
  <si>
    <t>zapply visa col: blank; age 3w</t>
  </si>
  <si>
    <t>Internship - Technical Support Team</t>
  </si>
  <si>
    <t>Apply →  applyguy.ai/jobs?company=PCS+Software+Inc&amp;job=12a932ef-afc</t>
  </si>
  <si>
    <t>Technical support role</t>
  </si>
  <si>
    <t>Red Ventures</t>
  </si>
  <si>
    <t>We're Planning Ahead - Join the Talent Pool</t>
  </si>
  <si>
    <t>Apply →  redventures.com/careers/positions/open?gh_jid=7733251</t>
  </si>
  <si>
    <t>Talent pool, not a specific req</t>
  </si>
  <si>
    <t>Drexel University Co-op: Embedded Software</t>
  </si>
  <si>
    <t>Apply →  applyguy.ai/jobs?company=SRI+International&amp;job=97b6f8ea-19</t>
  </si>
  <si>
    <t>Drexel University Co-op: Embedded Software Engineering</t>
  </si>
  <si>
    <t>Apply →  careers-sri.icims.com/jobs/6431/drexel-university-co-op%3a</t>
  </si>
  <si>
    <t>Direct ATS link; Drexel co-op specific</t>
  </si>
  <si>
    <t>Thales</t>
  </si>
  <si>
    <t>AppSec Product Support Intern</t>
  </si>
  <si>
    <t>Apply →  thales.wd3.myworkdayjobs.com/careers/job/Texas/AppSec-Prod</t>
  </si>
  <si>
    <t>2</t>
  </si>
  <si>
    <t>Apply →  careers.appian.com/jobs/8041237-software-engineering-inter</t>
  </si>
  <si>
    <t>DTCC</t>
  </si>
  <si>
    <t>Information Technology Intern</t>
  </si>
  <si>
    <t>Jersey City, NJ (multiple US)</t>
  </si>
  <si>
    <t>Apply →  ebxr.fa.us2.oraclecloud.com/hcmUI/CandidateExperience/en/s</t>
  </si>
  <si>
    <t>Fiserv</t>
  </si>
  <si>
    <t>Application Development Intern</t>
  </si>
  <si>
    <t>Apply →  careers.fiserv.com/us/en/job/FFFYJUSR10390264EXTERNALENUS/</t>
  </si>
  <si>
    <t>Apply →  careers.fiserv.com/us/en/job/FFFYJUSR10390344EXTERNALENUS/</t>
  </si>
  <si>
    <t>Muru</t>
  </si>
  <si>
    <t>Apply →  murumed.com/job-listings/web-software-engineer-intern</t>
  </si>
  <si>
    <t>Marked no sponsorship</t>
  </si>
  <si>
    <t>Apply →  murumed.com/job-listings/software-engineer-intern</t>
  </si>
  <si>
    <t>Poshmark</t>
  </si>
  <si>
    <t>Cloud Platform Engineer Intern, Growth</t>
  </si>
  <si>
    <t>Apply →  jobs.ashbyhq.com/poshmark/062b84e6-1633-43ae-870b-83cb6289</t>
  </si>
  <si>
    <t>-3</t>
  </si>
  <si>
    <t>Services Summer Analyst</t>
  </si>
  <si>
    <t>Apply →  jobs.citi.com/job/-/-/287/93724104768</t>
  </si>
  <si>
    <t>Finance/services analyst track</t>
  </si>
  <si>
    <t>NBCUniversal</t>
  </si>
  <si>
    <t>Apply →  jobs.smartrecruiters.com/NBCUniversal3/744000121848194</t>
  </si>
  <si>
    <t>No sponsorship offered</t>
  </si>
  <si>
    <t>-4</t>
  </si>
  <si>
    <t>Apply →  boeing.wd1.myworkdayjobs.com/en-US/EXTERNAL_CAREERS/detail</t>
  </si>
  <si>
    <t>Solar Turbines (Caterpillar)</t>
  </si>
  <si>
    <t>2027 Internship - Gas Compressor Data Analyst</t>
  </si>
  <si>
    <t>-5</t>
  </si>
  <si>
    <t>HARMAN</t>
  </si>
  <si>
    <t>Apply →  jobsearch.harman.com/en_US/careers/JobDetail/Intern-Softwa</t>
  </si>
  <si>
    <t>-10</t>
  </si>
  <si>
    <t>Global Technology Summer Analyst - Business Analyst</t>
  </si>
  <si>
    <t>Apply →  careers.bankofamerica.com/en-us/students/job-detail/14419/</t>
  </si>
  <si>
    <t>Global Technology Summer Analyst - Cybersecurity Analyst</t>
  </si>
  <si>
    <t>Apply →  careers.bankofamerica.com/en-us/students/job-detail/14391/</t>
  </si>
  <si>
    <t>Asset &amp; Wealth Management Risk Summer Analyst</t>
  </si>
  <si>
    <t>Universal City, CA</t>
  </si>
  <si>
    <t>Apply →  jobs.smartrecruiters.com/NBCUniversal3/744000121851427</t>
  </si>
  <si>
    <t>-22</t>
  </si>
  <si>
    <t>Information Security Engineer Intern</t>
  </si>
  <si>
    <t>Apply →  job-boards.greenhouse.io/appian/jobs/8088496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</si>
</sst>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7">
    <font>
      <sz val="11.0"/>
      <color theme="1"/>
      <name val="Calibri"/>
      <scheme val="minor"/>
    </font>
    <font>
      <b/>
      <sz val="18.0"/>
      <color rgb="FF1F3864"/>
      <name val="Arial"/>
    </font>
    <font>
      <i/>
      <sz val="10.0"/>
      <color rgb="FF44546A"/>
      <name val="Arial"/>
    </font>
    <font>
      <b/>
      <sz val="10.0"/>
      <color rgb="FFFFFFFF"/>
      <name val="Arial"/>
    </font>
    <font>
      <b/>
      <sz val="11.0"/>
      <color rgb="FF44546A"/>
      <name val="Arial"/>
    </font>
    <font>
      <b/>
      <sz val="16.0"/>
      <color rgb="FF1F3864"/>
      <name val="Arial"/>
    </font>
    <font>
      <sz val="11.0"/>
      <color rgb="FF000000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u/>
      <sz val="9.0"/>
      <color rgb="FF0563C1"/>
      <name val="Arial"/>
    </font>
    <font>
      <sz val="9.0"/>
      <color rgb="FF44546A"/>
      <name val="Arial"/>
    </font>
    <font>
      <b/>
      <sz val="10.0"/>
      <color rgb="FF44546A"/>
      <name val="Arial"/>
    </font>
    <font>
      <i/>
      <sz val="10.0"/>
      <color theme="1"/>
      <name val="Arial"/>
    </font>
    <font>
      <u/>
      <sz val="9.0"/>
      <color rgb="FF0563C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44546A"/>
        <bgColor rgb="FF44546A"/>
      </patternFill>
    </fill>
    <fill>
      <patternFill patternType="solid">
        <fgColor rgb="FFE2EFDA"/>
        <bgColor rgb="FFE2EFDA"/>
      </patternFill>
    </fill>
    <fill>
      <patternFill patternType="solid">
        <fgColor rgb="FF7F6000"/>
        <bgColor rgb="FF7F6000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CE4E4"/>
        <bgColor rgb="FFFCE4E4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top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top" wrapText="1"/>
    </xf>
    <xf borderId="1" fillId="0" fontId="7" numFmtId="0" xfId="0" applyAlignment="1" applyBorder="1" applyFont="1">
      <alignment shrinkToFit="0" vertical="bottom" wrapText="0"/>
    </xf>
    <xf borderId="1" fillId="3" fontId="8" numFmtId="0" xfId="0" applyAlignment="1" applyBorder="1" applyFill="1" applyFont="1">
      <alignment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4" fontId="9" numFmtId="0" xfId="0" applyAlignment="1" applyBorder="1" applyFill="1" applyFont="1">
      <alignment shrinkToFit="0" vertical="bottom" wrapText="0"/>
    </xf>
    <xf borderId="1" fillId="3" fontId="10" numFmtId="0" xfId="0" applyAlignment="1" applyBorder="1" applyFont="1">
      <alignment shrinkToFit="0" vertical="bottom" wrapText="0"/>
    </xf>
    <xf borderId="0" fillId="0" fontId="11" numFmtId="0" xfId="0" applyAlignment="1" applyFont="1">
      <alignment shrinkToFit="0" vertical="top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9" numFmtId="0" xfId="0" applyAlignment="1" applyBorder="1" applyFill="1" applyFont="1">
      <alignment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7" fontId="9" numFmtId="0" xfId="0" applyAlignment="1" applyBorder="1" applyFill="1" applyFont="1">
      <alignment shrinkToFit="0" vertical="bottom" wrapText="0"/>
    </xf>
    <xf borderId="1" fillId="4" fontId="9" numFmtId="0" xfId="0" applyAlignment="1" applyBorder="1" applyFont="1">
      <alignment shrinkToFit="0" vertical="top" wrapText="0"/>
    </xf>
    <xf borderId="1" fillId="0" fontId="9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shrinkToFit="0" vertical="top" wrapText="0"/>
    </xf>
    <xf borderId="1" fillId="0" fontId="13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1" fillId="0" fontId="7" numFmtId="0" xfId="0" applyAlignment="1" applyBorder="1" applyFont="1">
      <alignment shrinkToFit="0" vertical="top" wrapText="1"/>
    </xf>
    <xf borderId="2" fillId="6" fontId="15" numFmtId="0" xfId="0" applyAlignment="1" applyBorder="1" applyFont="1">
      <alignment shrinkToFit="0" vertical="bottom" wrapText="0"/>
    </xf>
    <xf borderId="1" fillId="4" fontId="7" numFmtId="0" xfId="0" applyAlignment="1" applyBorder="1" applyFont="1">
      <alignment shrinkToFit="0" vertical="top" wrapText="1"/>
    </xf>
    <xf borderId="1" fillId="0" fontId="16" numFmtId="0" xfId="0" applyAlignment="1" applyBorder="1" applyFont="1">
      <alignment shrinkToFit="0" vertical="top" wrapText="0"/>
    </xf>
    <xf borderId="1" fillId="6" fontId="7" numFmtId="0" xfId="0" applyAlignment="1" applyBorder="1" applyFont="1">
      <alignment shrinkToFit="0" vertical="bottom" wrapText="0"/>
    </xf>
    <xf borderId="1" fillId="0" fontId="9" numFmtId="164" xfId="0" applyAlignment="1" applyBorder="1" applyFont="1" applyNumberForma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1" fillId="6" fontId="7" numFmtId="0" xfId="0" applyAlignment="1" applyBorder="1" applyFont="1">
      <alignment shrinkToFit="0" vertical="top" wrapText="0"/>
    </xf>
    <xf borderId="1" fillId="7" fontId="7" numFmtId="0" xfId="0" applyAlignment="1" applyBorder="1" applyFont="1">
      <alignment shrinkToFit="0" vertical="top" wrapText="0"/>
    </xf>
    <xf borderId="1" fillId="8" fontId="7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tesla.com/careers/search/job/273810" TargetMode="External"/><Relationship Id="rId391" Type="http://schemas.openxmlformats.org/officeDocument/2006/relationships/hyperlink" Target="https://www.tesla.com/careers/search/job/276333" TargetMode="External"/><Relationship Id="rId390" Type="http://schemas.openxmlformats.org/officeDocument/2006/relationships/hyperlink" Target="https://www.tesla.com/careers/search/job/275558" TargetMode="External"/><Relationship Id="rId1" Type="http://schemas.openxmlformats.org/officeDocument/2006/relationships/hyperlink" Target="https://nvidia.wd5.myworkdayjobs.com/nvidiaexternalcareersite/job/US-CA-Santa-Clara/PhD-Research-Intern--Generative-AI---2026_JR2016035" TargetMode="External"/><Relationship Id="rId2" Type="http://schemas.openxmlformats.org/officeDocument/2006/relationships/hyperlink" Target="https://jobs.bytedance.com/en/position/7665457718334425349/detail" TargetMode="External"/><Relationship Id="rId3" Type="http://schemas.openxmlformats.org/officeDocument/2006/relationships/hyperlink" Target="https://lifeattiktok.com/search/7633668456744503557" TargetMode="External"/><Relationship Id="rId4" Type="http://schemas.openxmlformats.org/officeDocument/2006/relationships/hyperlink" Target="https://lifeattiktok.com/search/7633670871815670069" TargetMode="External"/><Relationship Id="rId9" Type="http://schemas.openxmlformats.org/officeDocument/2006/relationships/hyperlink" Target="https://nvidia.wd5.myworkdayjobs.com/en-US/NVIDIAExternalCareerSite/job/Software-Engineering-Intern--Robot-Learning-Platform---Fall-2026_JR2015575" TargetMode="External"/><Relationship Id="rId385" Type="http://schemas.openxmlformats.org/officeDocument/2006/relationships/hyperlink" Target="https://www.tesla.com/careers/search/job/273927" TargetMode="External"/><Relationship Id="rId384" Type="http://schemas.openxmlformats.org/officeDocument/2006/relationships/hyperlink" Target="https://www.tesla.com/careers/search/job/273723" TargetMode="External"/><Relationship Id="rId383" Type="http://schemas.openxmlformats.org/officeDocument/2006/relationships/hyperlink" Target="https://www.tesla.com/careers/search/job/278620" TargetMode="External"/><Relationship Id="rId382" Type="http://schemas.openxmlformats.org/officeDocument/2006/relationships/hyperlink" Target="https://www.tesla.com/careers/search/job/270521" TargetMode="External"/><Relationship Id="rId5" Type="http://schemas.openxmlformats.org/officeDocument/2006/relationships/hyperlink" Target="https://joinbytedance.com/search/7623548747208739077" TargetMode="External"/><Relationship Id="rId389" Type="http://schemas.openxmlformats.org/officeDocument/2006/relationships/hyperlink" Target="https://www.tesla.com/careers/search/job/internship-software-developer-integration-platforms-fall-2026-270037" TargetMode="External"/><Relationship Id="rId6" Type="http://schemas.openxmlformats.org/officeDocument/2006/relationships/hyperlink" Target="https://jobs.bytedance.com/en/position/7670354329765464373/detail" TargetMode="External"/><Relationship Id="rId388" Type="http://schemas.openxmlformats.org/officeDocument/2006/relationships/hyperlink" Target="https://www.tesla.com/careers/search/job/278703" TargetMode="External"/><Relationship Id="rId7" Type="http://schemas.openxmlformats.org/officeDocument/2006/relationships/hyperlink" Target="https://jobright.ai/jobs/info/6a240e51757ade085b6afa5a" TargetMode="External"/><Relationship Id="rId387" Type="http://schemas.openxmlformats.org/officeDocument/2006/relationships/hyperlink" Target="https://jobright.ai/jobs/info/6a2c684b7cd40a338fae63e6" TargetMode="External"/><Relationship Id="rId8" Type="http://schemas.openxmlformats.org/officeDocument/2006/relationships/hyperlink" Target="https://nvidia.wd5.myworkdayjobs.com/NVIDIAExternalCareerSite/job/US-CA-Santa-Clara/Software-Engineering-Intern--Robot-Learning-Platform---Fall-2026_JR2015575?jr_id=69e82017f8fa2f3ec32ab97c" TargetMode="External"/><Relationship Id="rId386" Type="http://schemas.openxmlformats.org/officeDocument/2006/relationships/hyperlink" Target="https://www.tesla.com/careers/search/job/275805" TargetMode="External"/><Relationship Id="rId381" Type="http://schemas.openxmlformats.org/officeDocument/2006/relationships/hyperlink" Target="https://careers.snowflake.com/us/en/job/SNCOUSCC3FB214186D4B439D3F15B47307A231EXTERNALENUSBBDEE8BD443C456FA4F01B363D843310/Software-Engineer-Intern-Infrastructure-Automation-Fall-2026" TargetMode="External"/><Relationship Id="rId380" Type="http://schemas.openxmlformats.org/officeDocument/2006/relationships/hyperlink" Target="https://careers.snowflake.com/us/en/job/SNCOUSFA7B56D5F57047479C1775A3DB18737CEXTERNALENUSFD76A37F868D467BA2560B6746B9E961/Software-Engineer-Intern-Database-Engineering-Fall-2026" TargetMode="External"/><Relationship Id="rId379" Type="http://schemas.openxmlformats.org/officeDocument/2006/relationships/hyperlink" Target="https://careers.snowflake.com/us/en/job/SNCOUS0214F57FFF904B4AB58DD1965DC9927EEXTERNALENUS4F34AEFA681B4AA8A0EA28CE56C9F1A5/Software-Engineer-Intern-Core-Engineering-Fall-2026" TargetMode="External"/><Relationship Id="rId374" Type="http://schemas.openxmlformats.org/officeDocument/2006/relationships/hyperlink" Target="https://apply.careers.microsoft.com/careers/job/1970393556922923" TargetMode="External"/><Relationship Id="rId373" Type="http://schemas.openxmlformats.org/officeDocument/2006/relationships/hyperlink" Target="https://apply.careers.microsoft.com/careers/job/1970393556922922" TargetMode="External"/><Relationship Id="rId372" Type="http://schemas.openxmlformats.org/officeDocument/2006/relationships/hyperlink" Target="https://intel.wd1.myworkdayjobs.com/external/job/Virtual-US/AI-Software-Engineer-Graduate-Intern_JR0285989" TargetMode="External"/><Relationship Id="rId371" Type="http://schemas.openxmlformats.org/officeDocument/2006/relationships/hyperlink" Target="https://www.drw.com/work-at-drw/listings/quantitative-research-intern-3413670" TargetMode="External"/><Relationship Id="rId378" Type="http://schemas.openxmlformats.org/officeDocument/2006/relationships/hyperlink" Target="https://jobright.ai/jobs/info/6a0ef6e080bf0430c76300d4" TargetMode="External"/><Relationship Id="rId377" Type="http://schemas.openxmlformats.org/officeDocument/2006/relationships/hyperlink" Target="https://jobright.ai/jobs/info/6a296b6ed3ec8317fe13dccf" TargetMode="External"/><Relationship Id="rId376" Type="http://schemas.openxmlformats.org/officeDocument/2006/relationships/hyperlink" Target="https://job-boards.greenhouse.io/sevenresearch/jobs/4894946008" TargetMode="External"/><Relationship Id="rId375" Type="http://schemas.openxmlformats.org/officeDocument/2006/relationships/hyperlink" Target="https://jobs.ashbyhq.com/notion/5b15697c-fa91-4511-9482-c98a6ff29f90" TargetMode="External"/><Relationship Id="rId396" Type="http://schemas.openxmlformats.org/officeDocument/2006/relationships/hyperlink" Target="https://www.tesla.com/careers/search/job/internship-software-engineer-vehicle-ui-development-fall-2026-270063" TargetMode="External"/><Relationship Id="rId395" Type="http://schemas.openxmlformats.org/officeDocument/2006/relationships/hyperlink" Target="https://www.tesla.com/careers/search/job/internship-software-engineer-update-systems-fall-2026-267002" TargetMode="External"/><Relationship Id="rId394" Type="http://schemas.openxmlformats.org/officeDocument/2006/relationships/hyperlink" Target="https://www.tesla.com/careers/search/job/internship-software-engineer-service-engineering-fall-2026-266119" TargetMode="External"/><Relationship Id="rId393" Type="http://schemas.openxmlformats.org/officeDocument/2006/relationships/hyperlink" Target="https://www.tesla.com/careers/search/job/internship-software-engineer-maps-navigation-validation-fall-2026--270186" TargetMode="External"/><Relationship Id="rId399" Type="http://schemas.openxmlformats.org/officeDocument/2006/relationships/hyperlink" Target="https://nuro.ai/careersitem?gh_jid=7673849" TargetMode="External"/><Relationship Id="rId398" Type="http://schemas.openxmlformats.org/officeDocument/2006/relationships/hyperlink" Target="https://lifeattiktok.com/search/7654431844394322229" TargetMode="External"/><Relationship Id="rId397" Type="http://schemas.openxmlformats.org/officeDocument/2006/relationships/hyperlink" Target="https://www.tesla.com/careers/search/job/274760" TargetMode="External"/><Relationship Id="rId808" Type="http://schemas.openxmlformats.org/officeDocument/2006/relationships/hyperlink" Target="https://jobs.ashbyhq.com/eragon/0b90ea4a-8684-4ae1-a7cc-c998db6e862e/application" TargetMode="External"/><Relationship Id="rId807" Type="http://schemas.openxmlformats.org/officeDocument/2006/relationships/hyperlink" Target="https://www.workatastartup.com/jobs/86239" TargetMode="External"/><Relationship Id="rId806" Type="http://schemas.openxmlformats.org/officeDocument/2006/relationships/hyperlink" Target="https://applyguy.ai/jobs?company=CSBio&amp;job=db772e87-8786-49f8-b23c-5c2cace44334" TargetMode="External"/><Relationship Id="rId805" Type="http://schemas.openxmlformats.org/officeDocument/2006/relationships/hyperlink" Target="https://careers-cpicardgroup.icims.com/jobs/11215/intern-ai-automation-%26-process-analyst/job" TargetMode="External"/><Relationship Id="rId809" Type="http://schemas.openxmlformats.org/officeDocument/2006/relationships/hyperlink" Target="https://applyguy.ai/jobs?company=Exowatt&amp;job=76db5bf4-7ca6-4973-86cc-31934ef391fe" TargetMode="External"/><Relationship Id="rId800" Type="http://schemas.openxmlformats.org/officeDocument/2006/relationships/hyperlink" Target="https://www.capitalonecareers.com/job/mclean/data-analyst-intern-summer-2027/31238/97421687472" TargetMode="External"/><Relationship Id="rId804" Type="http://schemas.openxmlformats.org/officeDocument/2006/relationships/hyperlink" Target="https://coreandmain.wd1.myworkdayjobs.com/en-US/coreandmain/job/Saint-Louis-MO-63146/Intern---Data-Engineering----Corp_45804" TargetMode="External"/><Relationship Id="rId803" Type="http://schemas.openxmlformats.org/officeDocument/2006/relationships/hyperlink" Target="https://coreandmain.wd1.myworkdayjobs.com/coreandmain/job/Saint-Louis-MO-63146/Intern---Data-Engineering----Corp_45804" TargetMode="External"/><Relationship Id="rId802" Type="http://schemas.openxmlformats.org/officeDocument/2006/relationships/hyperlink" Target="https://jobs.ashbyhq.com/constellationspace/b763d4ba-7b77-479b-89a0-f632d9d02f4a" TargetMode="External"/><Relationship Id="rId801" Type="http://schemas.openxmlformats.org/officeDocument/2006/relationships/hyperlink" Target="https://jobs-cesi.icims.com/jobs/10965/ai-intern/job" TargetMode="External"/><Relationship Id="rId40" Type="http://schemas.openxmlformats.org/officeDocument/2006/relationships/hyperlink" Target="https://joinbytedance.com/search/7623544831999346997" TargetMode="External"/><Relationship Id="rId1334" Type="http://schemas.openxmlformats.org/officeDocument/2006/relationships/hyperlink" Target="https://generac.wd5.myworkdayjobs.com/External/job/Waukesha-WI---USA/Intern--Test-Engineering-and-Validation_JR15189" TargetMode="External"/><Relationship Id="rId1335" Type="http://schemas.openxmlformats.org/officeDocument/2006/relationships/hyperlink" Target="https://genpt.wd1.myworkdayjobs.com/Careers/job/Birmingham-AL-USA/Web-Developer-Intern_R26_0000005457" TargetMode="External"/><Relationship Id="rId42" Type="http://schemas.openxmlformats.org/officeDocument/2006/relationships/hyperlink" Target="https://www.skydio.com/jobs/c84945f0-b8e0-4272-b636-265d6611a8eb" TargetMode="External"/><Relationship Id="rId1336" Type="http://schemas.openxmlformats.org/officeDocument/2006/relationships/hyperlink" Target="https://job-boards.greenhouse.io/harbingermotors/jobs/5164330007" TargetMode="External"/><Relationship Id="rId41" Type="http://schemas.openxmlformats.org/officeDocument/2006/relationships/hyperlink" Target="https://careers.twosigma.com/careers/JobDetail/New-York-New-York-United-States-AI-Research-Scientist-Internship-2027-Summer/14022" TargetMode="External"/><Relationship Id="rId1337" Type="http://schemas.openxmlformats.org/officeDocument/2006/relationships/hyperlink" Target="https://www.healthesystems.com/unassigned/careers-list?gh_jid=7695344003" TargetMode="External"/><Relationship Id="rId44" Type="http://schemas.openxmlformats.org/officeDocument/2006/relationships/hyperlink" Target="https://www.citadel.com/careers/details/quantitative-researcher-phd-intern-us/" TargetMode="External"/><Relationship Id="rId1338" Type="http://schemas.openxmlformats.org/officeDocument/2006/relationships/hyperlink" Target="https://www.paycomonline.net/v4/ats/web.php/portal/4689D9AB2F6F99AD5F352379B206FD14/jobs/497616" TargetMode="External"/><Relationship Id="rId43" Type="http://schemas.openxmlformats.org/officeDocument/2006/relationships/hyperlink" Target="https://www.pinterestcareers.com/jobs/7255640/phd-fall-machine-learning-intern-atg-visual-multimodal-and-recommender-systems/?jr_id=69e683219b6eb37e26f80c4f&amp;gh_jid=7255640" TargetMode="External"/><Relationship Id="rId1339" Type="http://schemas.openxmlformats.org/officeDocument/2006/relationships/hyperlink" Target="https://hp.wd5.myworkdayjobs.com/ExternalCareerSite/job/Spring-Texas-United-States-of-America/Enterprise-Operations-Engineering-Internship_3166958-1" TargetMode="External"/><Relationship Id="rId46" Type="http://schemas.openxmlformats.org/officeDocument/2006/relationships/hyperlink" Target="https://www.citadelsecurities.com/careers/details/quantitative-research-analyst-intern-us/" TargetMode="External"/><Relationship Id="rId45" Type="http://schemas.openxmlformats.org/officeDocument/2006/relationships/hyperlink" Target="https://www.citadel.com/careers/details/quantitative-trader-equities-quantitative-research-intern-us/" TargetMode="External"/><Relationship Id="rId745" Type="http://schemas.openxmlformats.org/officeDocument/2006/relationships/hyperlink" Target="https://www.tesla.com/careers/search/job/internship-localization-specialist-it-applications-fall-2026-276308" TargetMode="External"/><Relationship Id="rId744" Type="http://schemas.openxmlformats.org/officeDocument/2006/relationships/hyperlink" Target="https://www.tesla.com/careers/search/job/internship-embedded-software-engineer-keys-authentication-fall-2026-270067" TargetMode="External"/><Relationship Id="rId743" Type="http://schemas.openxmlformats.org/officeDocument/2006/relationships/hyperlink" Target="https://jobs.ashbyhq.com/snowflake/3ac79875-b7bb-4078-b9c4-3bd5636e5d9c" TargetMode="External"/><Relationship Id="rId742" Type="http://schemas.openxmlformats.org/officeDocument/2006/relationships/hyperlink" Target="http://www.revance.com/careers/job-listings/?gh_jid=8578708002" TargetMode="External"/><Relationship Id="rId749" Type="http://schemas.openxmlformats.org/officeDocument/2006/relationships/hyperlink" Target="https://applyguy.ai/jobs?company=Akuna+Capital&amp;job=3136c06b-556a-447c-ae27-27e2ad636df9" TargetMode="External"/><Relationship Id="rId748" Type="http://schemas.openxmlformats.org/officeDocument/2006/relationships/hyperlink" Target="https://applyguy.ai/jobs?company=Akuna+Capital&amp;job=1778066f-8b6a-4f55-ab4b-8cbfbcb08010" TargetMode="External"/><Relationship Id="rId747" Type="http://schemas.openxmlformats.org/officeDocument/2006/relationships/hyperlink" Target="https://applyguy.ai/jobs?company=Akuna+Capital&amp;job=cd03890d-6b23-4e6a-98c2-c5478ecca87c" TargetMode="External"/><Relationship Id="rId746" Type="http://schemas.openxmlformats.org/officeDocument/2006/relationships/hyperlink" Target="https://www.akunacapital.com/careers/job/8021481/?gh_jid=8021481" TargetMode="External"/><Relationship Id="rId48" Type="http://schemas.openxmlformats.org/officeDocument/2006/relationships/hyperlink" Target="https://www.citadelsecurities.com/careers/details/quantitative-researcher-phd-intern-us/" TargetMode="External"/><Relationship Id="rId47" Type="http://schemas.openxmlformats.org/officeDocument/2006/relationships/hyperlink" Target="https://www.citadelsecurities.com/careers/details/quantitative-research-engineer-phd-intern-us/" TargetMode="External"/><Relationship Id="rId49" Type="http://schemas.openxmlformats.org/officeDocument/2006/relationships/hyperlink" Target="https://www.hudsonrivertrading.com/hrt-job/algorithm-development-quant-research-internship-summer-2027/" TargetMode="External"/><Relationship Id="rId741" Type="http://schemas.openxmlformats.org/officeDocument/2006/relationships/hyperlink" Target="https://job-boards.greenhouse.io/pointc/jobs/5282758008" TargetMode="External"/><Relationship Id="rId1330" Type="http://schemas.openxmlformats.org/officeDocument/2006/relationships/hyperlink" Target="https://equinix.wd1.myworkdayjobs.com/External/job/Dallas/Software-Engineering-Intern_JR-160092" TargetMode="External"/><Relationship Id="rId740" Type="http://schemas.openxmlformats.org/officeDocument/2006/relationships/hyperlink" Target="https://job-boards.greenhouse.io/pointc/jobs/5236086008" TargetMode="External"/><Relationship Id="rId1331" Type="http://schemas.openxmlformats.org/officeDocument/2006/relationships/hyperlink" Target="https://jobs.ashbyhq.com/Etched/8134a9bf-9624-48dd-98be-0bf1c3cb1f55" TargetMode="External"/><Relationship Id="rId1332" Type="http://schemas.openxmlformats.org/officeDocument/2006/relationships/hyperlink" Target="https://careers.formlabs.com/job/8021679/apply/?gh_jid=8021679" TargetMode="External"/><Relationship Id="rId1333" Type="http://schemas.openxmlformats.org/officeDocument/2006/relationships/hyperlink" Target="https://job-boards.greenhouse.io/gelbergroup/jobs/4652887006" TargetMode="External"/><Relationship Id="rId1323" Type="http://schemas.openxmlformats.org/officeDocument/2006/relationships/hyperlink" Target="https://dtna.wd5.myworkdayjobs.com/DTNA_external/job/Byesville-OH-US/Manufacturing-Systems-Engineering-Co-op_DT-18529" TargetMode="External"/><Relationship Id="rId1324" Type="http://schemas.openxmlformats.org/officeDocument/2006/relationships/hyperlink" Target="https://careers.dexcom.com/careers/job/40100410" TargetMode="External"/><Relationship Id="rId31" Type="http://schemas.openxmlformats.org/officeDocument/2006/relationships/hyperlink" Target="https://simplify.jobs/p/2ccc5c31-d719-47e7-ab38-b42010d3a585/Software-Engineer-Intern-Dynamo" TargetMode="External"/><Relationship Id="rId1325" Type="http://schemas.openxmlformats.org/officeDocument/2006/relationships/hyperlink" Target="https://jobs.lever.co/diversified-automation/827a092d-b8a3-4ca9-a84a-e8c236d1aabc" TargetMode="External"/><Relationship Id="rId30" Type="http://schemas.openxmlformats.org/officeDocument/2006/relationships/hyperlink" Target="https://jobs.bytedance.com/en/position/7538674634397813010/detail" TargetMode="External"/><Relationship Id="rId1326" Type="http://schemas.openxmlformats.org/officeDocument/2006/relationships/hyperlink" Target="https://careers.dovercorporation.com/job/Austin-Software-Developer-Intern-TX-78737/1389386833/?ats=successfactors" TargetMode="External"/><Relationship Id="rId33" Type="http://schemas.openxmlformats.org/officeDocument/2006/relationships/hyperlink" Target="https://www.janestreet.com/join-jane-street/position/8611307002/" TargetMode="External"/><Relationship Id="rId1327" Type="http://schemas.openxmlformats.org/officeDocument/2006/relationships/hyperlink" Target="https://hdjq.fa.us2.oraclecloud.com/hcmUI/CandidateExperience/en/sites/CX_1/job/26004161" TargetMode="External"/><Relationship Id="rId32" Type="http://schemas.openxmlformats.org/officeDocument/2006/relationships/hyperlink" Target="https://www.citadelsecurities.com/careers/details/machine-learning-researcher-phd-intern-us/" TargetMode="External"/><Relationship Id="rId1328" Type="http://schemas.openxmlformats.org/officeDocument/2006/relationships/hyperlink" Target="https://apply.workable.com/enfos-inc/j/7364AA5599/" TargetMode="External"/><Relationship Id="rId35" Type="http://schemas.openxmlformats.org/officeDocument/2006/relationships/hyperlink" Target="https://jobs.bytedance.com/en/position/7667380184615127301/detail" TargetMode="External"/><Relationship Id="rId1329" Type="http://schemas.openxmlformats.org/officeDocument/2006/relationships/hyperlink" Target="https://equifax.wd5.myworkdayjobs.com/UR_External/job/USA---Georgia---Alpharetta---30005/Technology-Intern_J00170964" TargetMode="External"/><Relationship Id="rId34" Type="http://schemas.openxmlformats.org/officeDocument/2006/relationships/hyperlink" Target="https://www.janestreet.com/join-jane-street/position/8384490002/" TargetMode="External"/><Relationship Id="rId739" Type="http://schemas.openxmlformats.org/officeDocument/2006/relationships/hyperlink" Target="https://job-boards.greenhouse.io/pointc/jobs/5282753008" TargetMode="External"/><Relationship Id="rId734" Type="http://schemas.openxmlformats.org/officeDocument/2006/relationships/hyperlink" Target="https://job-boards.greenhouse.io/cresta/jobs/5213417008" TargetMode="External"/><Relationship Id="rId733" Type="http://schemas.openxmlformats.org/officeDocument/2006/relationships/hyperlink" Target="https://careers-cotiviti.icims.com/jobs/19416/job?mobile=true&amp;needsRedirect=false" TargetMode="External"/><Relationship Id="rId732" Type="http://schemas.openxmlformats.org/officeDocument/2006/relationships/hyperlink" Target="https://campbellsoup.wd5.myworkdayjobs.com/externalcareers_globalsite/job/USA---Remote/Business-Analyst--Co-op---DA-AI_Req-65915" TargetMode="External"/><Relationship Id="rId731" Type="http://schemas.openxmlformats.org/officeDocument/2006/relationships/hyperlink" Target="https://campbellsoup.wd5.myworkdayjobs.com/en-US/externalcareers_globalsite/job/USA---Remote/Business-Analyst--Co-op---DA-AI_Req-65915" TargetMode="External"/><Relationship Id="rId738" Type="http://schemas.openxmlformats.org/officeDocument/2006/relationships/hyperlink" Target="https://jobs.ashbyhq.com/notion/6ccbc30c-2de0-4395-af14-3641cd15961b" TargetMode="External"/><Relationship Id="rId737" Type="http://schemas.openxmlformats.org/officeDocument/2006/relationships/hyperlink" Target="https://fa-evmr-saasfaprod1.fa.ocs.oraclecloud.com/hcmUI/CandidateExperience/en/sites/CX_1/job/36722" TargetMode="External"/><Relationship Id="rId736" Type="http://schemas.openxmlformats.org/officeDocument/2006/relationships/hyperlink" Target="https://apply.careers.microsoft.com/careers/job/1970393556922930" TargetMode="External"/><Relationship Id="rId735" Type="http://schemas.openxmlformats.org/officeDocument/2006/relationships/hyperlink" Target="https://jobs.ashbyhq.com/greatquestion/c533196c-75d5-43b8-b1c8-dedf2437d544" TargetMode="External"/><Relationship Id="rId37" Type="http://schemas.openxmlformats.org/officeDocument/2006/relationships/hyperlink" Target="https://lifeattiktok.com/search/7668445566565321013" TargetMode="External"/><Relationship Id="rId36" Type="http://schemas.openxmlformats.org/officeDocument/2006/relationships/hyperlink" Target="https://simplify.jobs/p/50940dc5-4b2f-4f49-983e-f589769f3848/Research-Scientist-Intern-Multimedia-Streaming" TargetMode="External"/><Relationship Id="rId39" Type="http://schemas.openxmlformats.org/officeDocument/2006/relationships/hyperlink" Target="https://lifeattiktok.com/search/7668862422178318597" TargetMode="External"/><Relationship Id="rId38" Type="http://schemas.openxmlformats.org/officeDocument/2006/relationships/hyperlink" Target="https://lifeattiktok.com/search/7668725183121000757" TargetMode="External"/><Relationship Id="rId730" Type="http://schemas.openxmlformats.org/officeDocument/2006/relationships/hyperlink" Target="https://campbellsoup.wd5.myworkdayjobs.com/en-US/externalcareers_globalsite/job/USA---Remote/Agentic-AI-Engineer-Co-Op_Req-66015" TargetMode="External"/><Relationship Id="rId1320" Type="http://schemas.openxmlformats.org/officeDocument/2006/relationships/hyperlink" Target="https://copart.wd12.myworkdayjobs.com/Copart/job/Dallas-TX---Headquarters/Software-Engineering-Intern_JR109441" TargetMode="External"/><Relationship Id="rId1321" Type="http://schemas.openxmlformats.org/officeDocument/2006/relationships/hyperlink" Target="https://copart.wd12.myworkdayjobs.com/Copart/job/Dallas-TX---Headquarters/Vulnerability-Management-Engineering-Intern-_JR109639" TargetMode="External"/><Relationship Id="rId1322" Type="http://schemas.openxmlformats.org/officeDocument/2006/relationships/hyperlink" Target="https://jobs.dayforcehcm.com/en-US/corpay/candidateportal/jobs/55812" TargetMode="External"/><Relationship Id="rId1356" Type="http://schemas.openxmlformats.org/officeDocument/2006/relationships/hyperlink" Target="https://jobs.lever.co/palantir/75cc1c09-8ebd-44c8-b3bc-d122cd1fecb3/apply" TargetMode="External"/><Relationship Id="rId1357" Type="http://schemas.openxmlformats.org/officeDocument/2006/relationships/hyperlink" Target="https://jobs.ashbyhq.com/pebl/656500ff-2bb5-4152-a553-02af70eff612" TargetMode="External"/><Relationship Id="rId20" Type="http://schemas.openxmlformats.org/officeDocument/2006/relationships/hyperlink" Target="https://applyguy.ai/jobs?company=NVIDIA&amp;job=6b556750-92e8-4d68-877d-f4d4afe0828f" TargetMode="External"/><Relationship Id="rId1358" Type="http://schemas.openxmlformats.org/officeDocument/2006/relationships/hyperlink" Target="https://jobs.lever.co/make-rain/b45f954e-19df-45b1-8748-c8ae442a2e8b/apply" TargetMode="External"/><Relationship Id="rId1359" Type="http://schemas.openxmlformats.org/officeDocument/2006/relationships/hyperlink" Target="https://cat.wd5.myworkdayjobs.com/SolarTurbines/job/San-Diego-California/XMLNAME-2027-Business-Analyst-Intern_R0000381902" TargetMode="External"/><Relationship Id="rId22" Type="http://schemas.openxmlformats.org/officeDocument/2006/relationships/hyperlink" Target="https://nvidia.wd5.myworkdayjobs.com/NVIDIAExternalCareerSite/job/US-CA-Remote/Quantum-Research-Scientist-Intern---Fall-2026_JR2018244" TargetMode="External"/><Relationship Id="rId21" Type="http://schemas.openxmlformats.org/officeDocument/2006/relationships/hyperlink" Target="https://nvidia.wd5.myworkdayjobs.com/en-US/nvidiaexternalcareersite/job/US-CA-Remote/Quantum-Error-Correction-Research-Scientist-Intern---Fall-2026_JR2018628" TargetMode="External"/><Relationship Id="rId24" Type="http://schemas.openxmlformats.org/officeDocument/2006/relationships/hyperlink" Target="https://www.metacareers.com/jobs/1422892385992613" TargetMode="External"/><Relationship Id="rId23" Type="http://schemas.openxmlformats.org/officeDocument/2006/relationships/hyperlink" Target="https://nvidia.wd5.myworkdayjobs.com/NVIDIAExternalCareerSite/job/US-CA-Remote/Data-Generation-and-User-Simulation-Research-Intern---Fall-2026_JR2018317" TargetMode="External"/><Relationship Id="rId767" Type="http://schemas.openxmlformats.org/officeDocument/2006/relationships/hyperlink" Target="https://careers.blackrock.com/job/new-york/2027-summer-internship-program-amers/45831/90628276544" TargetMode="External"/><Relationship Id="rId766" Type="http://schemas.openxmlformats.org/officeDocument/2006/relationships/hyperlink" Target="https://www.tower-research.com/open-positions/?gh_jid=8024128" TargetMode="External"/><Relationship Id="rId765" Type="http://schemas.openxmlformats.org/officeDocument/2006/relationships/hyperlink" Target="https://careers.sig.com/jobs/10837?lang=en-us&amp;mode=apply&amp;iis=LinkedIn&amp;jr_id=69f3d11158b23a2329da8088" TargetMode="External"/><Relationship Id="rId764" Type="http://schemas.openxmlformats.org/officeDocument/2006/relationships/hyperlink" Target="https://careers-sig.icims.com/jobs/11169/job" TargetMode="External"/><Relationship Id="rId769" Type="http://schemas.openxmlformats.org/officeDocument/2006/relationships/hyperlink" Target="https://job-boards.greenhouse.io/embed/job_app?for=point72&amp;token=7297613002" TargetMode="External"/><Relationship Id="rId768" Type="http://schemas.openxmlformats.org/officeDocument/2006/relationships/hyperlink" Target="https://austintexas.wd5.myworkdayjobs.com/COA_Careers/job/Fire-Headquarters/Research-Analyst-Internship_JR104634" TargetMode="External"/><Relationship Id="rId26" Type="http://schemas.openxmlformats.org/officeDocument/2006/relationships/hyperlink" Target="https://www.metacareers.com/jobs/2839011673109571" TargetMode="External"/><Relationship Id="rId25" Type="http://schemas.openxmlformats.org/officeDocument/2006/relationships/hyperlink" Target="https://www.metacareers.com/jobs/779670167783218" TargetMode="External"/><Relationship Id="rId28" Type="http://schemas.openxmlformats.org/officeDocument/2006/relationships/hyperlink" Target="https://nvidia.wd5.myworkdayjobs.com/NVIDIAExternalCareerSite/job/US-CA-Santa-Clara/Quantum-Research-Scientist-Intern---Fall-2026_JR2018244" TargetMode="External"/><Relationship Id="rId1350" Type="http://schemas.openxmlformats.org/officeDocument/2006/relationships/hyperlink" Target="https://monolithicpower.wd12.myworkdayjobs.com/MPS_Careers/job/San-Jose-CA/QA-Intern_R-1824" TargetMode="External"/><Relationship Id="rId27" Type="http://schemas.openxmlformats.org/officeDocument/2006/relationships/hyperlink" Target="https://nvidia.wd5.myworkdayjobs.com/nvidiaexternalcareersite/job/US-CA-Santa-Clara/PhD-Research-Intern--Security-and-Privacy---Fall-2026_JR2010492-1" TargetMode="External"/><Relationship Id="rId1351" Type="http://schemas.openxmlformats.org/officeDocument/2006/relationships/hyperlink" Target="https://motorolasolutions.wd5.myworkdayjobs.com/en-US/careers/job/Los-Angeles-CA/Intern---Web-Interface-Software-Engineer--2026-_R64590" TargetMode="External"/><Relationship Id="rId763" Type="http://schemas.openxmlformats.org/officeDocument/2006/relationships/hyperlink" Target="https://careers.sig.com/quantitative-trading-internships-co-ops/jobs/10849" TargetMode="External"/><Relationship Id="rId1352" Type="http://schemas.openxmlformats.org/officeDocument/2006/relationships/hyperlink" Target="https://jobs.ashbyhq.com/nash/5d2387ea-c478-433b-b3db-30115d1984c5" TargetMode="External"/><Relationship Id="rId29" Type="http://schemas.openxmlformats.org/officeDocument/2006/relationships/hyperlink" Target="https://lifeattiktok.com/search/7667349591727278341" TargetMode="External"/><Relationship Id="rId762" Type="http://schemas.openxmlformats.org/officeDocument/2006/relationships/hyperlink" Target="https://careers-sig.icims.com/jobs/10849/job" TargetMode="External"/><Relationship Id="rId1353" Type="http://schemas.openxmlformats.org/officeDocument/2006/relationships/hyperlink" Target="https://boards.greenhouse.io/neuralink/jobs/7736276003?gh_jid=7736276003" TargetMode="External"/><Relationship Id="rId761" Type="http://schemas.openxmlformats.org/officeDocument/2006/relationships/hyperlink" Target="https://careers.sig.com/job/10717/Quantitative-Trader-Internship-Summer-2027" TargetMode="External"/><Relationship Id="rId1354" Type="http://schemas.openxmlformats.org/officeDocument/2006/relationships/hyperlink" Target="https://job-boards.greenhouse.io/neuralink/jobs/6594422003" TargetMode="External"/><Relationship Id="rId760" Type="http://schemas.openxmlformats.org/officeDocument/2006/relationships/hyperlink" Target="https://careers-sig.icims.com/jobs/11170/job" TargetMode="External"/><Relationship Id="rId1355" Type="http://schemas.openxmlformats.org/officeDocument/2006/relationships/hyperlink" Target="https://nidec.wd1.myworkdayjobs.com/en-US/nidec/job/North-AmericaUSAMissouriSt-Louis---WPE-MO/Software-Engineer-Co-Op_R0015871" TargetMode="External"/><Relationship Id="rId1345" Type="http://schemas.openxmlformats.org/officeDocument/2006/relationships/hyperlink" Target="https://iheartmedia.wd5.myworkdayjobs.com/External_iHM/job/San-Antonio-TX-Stone-Oak/Software-Engineer-Intern_Req37982-2" TargetMode="External"/><Relationship Id="rId1346" Type="http://schemas.openxmlformats.org/officeDocument/2006/relationships/hyperlink" Target="https://www.imc.com/us/careers/jobs/4823945101" TargetMode="External"/><Relationship Id="rId1347" Type="http://schemas.openxmlformats.org/officeDocument/2006/relationships/hyperlink" Target="https://www.jumptrading.com/hr/job?gh_jid=8003019" TargetMode="External"/><Relationship Id="rId1348" Type="http://schemas.openxmlformats.org/officeDocument/2006/relationships/hyperlink" Target="https://job-boards.greenhouse.io/lilasciences/jobs/4284223009" TargetMode="External"/><Relationship Id="rId11" Type="http://schemas.openxmlformats.org/officeDocument/2006/relationships/hyperlink" Target="https://nvidia.wd5.myworkdayjobs.com/en-US/NVIDIAExternalCareerSite/job/Systems-Software-Engineer-Intern--Metropolis---Fall-2026_JR2018016" TargetMode="External"/><Relationship Id="rId1349" Type="http://schemas.openxmlformats.org/officeDocument/2006/relationships/hyperlink" Target="https://magna.wd3.myworkdayjobs.com/Magna/job/Southfield-Michigan-US/Intern---Engineering_R00235413" TargetMode="External"/><Relationship Id="rId10" Type="http://schemas.openxmlformats.org/officeDocument/2006/relationships/hyperlink" Target="https://nvidia.wd5.myworkdayjobs.com/NVIDIAExternalCareerSite/job/US-CA-Santa-Clara/Systems-Software-Engineer-Intern--Metropolis---Fall-2026_JR2018016" TargetMode="External"/><Relationship Id="rId13" Type="http://schemas.openxmlformats.org/officeDocument/2006/relationships/hyperlink" Target="https://lifeattiktok.com/search/7629250876813642037" TargetMode="External"/><Relationship Id="rId12" Type="http://schemas.openxmlformats.org/officeDocument/2006/relationships/hyperlink" Target="https://netflix.wd108.myworkdayjobs.com/en-US/netflix/job/Los-Gatos/Video-Algorithms-Intern--Video-Coding--Gaussian-Splatting---Fall-2026_JR40251" TargetMode="External"/><Relationship Id="rId756" Type="http://schemas.openxmlformats.org/officeDocument/2006/relationships/hyperlink" Target="https://builtin.com/job/software-engineer-intern-summer-2027-chicago/10031680" TargetMode="External"/><Relationship Id="rId755" Type="http://schemas.openxmlformats.org/officeDocument/2006/relationships/hyperlink" Target="https://www.optiver.com/join-us/jobs/8682750002/?gh_jid=8682750002" TargetMode="External"/><Relationship Id="rId754" Type="http://schemas.openxmlformats.org/officeDocument/2006/relationships/hyperlink" Target="https://www.optiver.com/join-us/jobs/institutional-sales-and-trading/chicago/quantitative-intern-summer-2027/" TargetMode="External"/><Relationship Id="rId753" Type="http://schemas.openxmlformats.org/officeDocument/2006/relationships/hyperlink" Target="https://applyguy.ai/jobs?company=Jump+Trading&amp;job=1ba4bcac-a8de-4f85-af98-879412f044c8" TargetMode="External"/><Relationship Id="rId759" Type="http://schemas.openxmlformats.org/officeDocument/2006/relationships/hyperlink" Target="https://careers.sig.com/jobs/10838" TargetMode="External"/><Relationship Id="rId758" Type="http://schemas.openxmlformats.org/officeDocument/2006/relationships/hyperlink" Target="https://jobs.ashbyhq.com/skydio/9ac944bc-89da-44bb-bf9c-3b9922e7cbee" TargetMode="External"/><Relationship Id="rId757" Type="http://schemas.openxmlformats.org/officeDocument/2006/relationships/hyperlink" Target="https://careers.point72.com/CSJobDetail?jobName=2027-point72-academy-investment-analyst-summer-internship-program-us&amp;jobCode=CPA-0014081" TargetMode="External"/><Relationship Id="rId15" Type="http://schemas.openxmlformats.org/officeDocument/2006/relationships/hyperlink" Target="https://nvidia.wd5.myworkdayjobs.com/en-US/nvidiaexternalcareersite/job/US-CA-Santa-Clara/Applied-Deep-Learning-PhD-Research-Intern--Reinforcement-Learning-for-LLMs---Fall-2026_JR2012398" TargetMode="External"/><Relationship Id="rId14" Type="http://schemas.openxmlformats.org/officeDocument/2006/relationships/hyperlink" Target="https://nvidia.wd5.myworkdayjobs.com/NVIDIAExternalCareerSite/job/US-TX-Austin/Agentic-AI-Solution-Engineering-Intern---Fall-2026_JR2019390" TargetMode="External"/><Relationship Id="rId17" Type="http://schemas.openxmlformats.org/officeDocument/2006/relationships/hyperlink" Target="https://nvidia.wd5.myworkdayjobs.com/en-US/nvidiaexternalcareersite/job/US-CA-Santa-Clara/Software-Engineering-Intern--JAX---Fall-2026_JR2009745" TargetMode="External"/><Relationship Id="rId16" Type="http://schemas.openxmlformats.org/officeDocument/2006/relationships/hyperlink" Target="https://nvidia.wd5.myworkdayjobs.com/NVIDIAExternalCareerSite/job/US-CA-Santa-Clara/Applied-Research-Intern--NLP---Fall-2026_JR2010488" TargetMode="External"/><Relationship Id="rId1340" Type="http://schemas.openxmlformats.org/officeDocument/2006/relationships/hyperlink" Target="https://hp.wd5.myworkdayjobs.com/ExternalCareerSite/job/Corvallis-Oregon-United-States-of-America/Technology---Innovation-Organization-Electrical-Engineering-Internship_3167270-1" TargetMode="External"/><Relationship Id="rId19" Type="http://schemas.openxmlformats.org/officeDocument/2006/relationships/hyperlink" Target="https://nvidia.wd5.myworkdayjobs.com/en-US/NVIDIAExternalCareerSite/job/Software-Engineering-Intern--Dynamo---Fall-2026_JR2022295" TargetMode="External"/><Relationship Id="rId752" Type="http://schemas.openxmlformats.org/officeDocument/2006/relationships/hyperlink" Target="https://www.jumptrading.com/hr/job?gh_jid=7982648" TargetMode="External"/><Relationship Id="rId1341" Type="http://schemas.openxmlformats.org/officeDocument/2006/relationships/hyperlink" Target="https://huntsman.wd1.myworkdayjobs.com/Huntsman/job/USA---Texas---Houston---The-Woodlands---Corporate-Office/Chemical-Engineering-Intern_J-020025" TargetMode="External"/><Relationship Id="rId18" Type="http://schemas.openxmlformats.org/officeDocument/2006/relationships/hyperlink" Target="https://nvidia.wd5.myworkdayjobs.com/en-US/NVIDIAExternalCareerSite/job/Software-Engineering-Intern--AI-Tools---Fall-2026_JR2016805" TargetMode="External"/><Relationship Id="rId751" Type="http://schemas.openxmlformats.org/officeDocument/2006/relationships/hyperlink" Target="https://job-boards.eu.greenhouse.io/imc/jobs/4823923101" TargetMode="External"/><Relationship Id="rId1342" Type="http://schemas.openxmlformats.org/officeDocument/2006/relationships/hyperlink" Target="https://huntsman.wd1.myworkdayjobs.com/Huntsman/job/USA---Texas---Houston---The-Woodlands---Corporate-Office/Electrical-Engineering-Intern_J-020027" TargetMode="External"/><Relationship Id="rId750" Type="http://schemas.openxmlformats.org/officeDocument/2006/relationships/hyperlink" Target="https://careers.bankofamerica.com/en-us/students/job-detail/14420/quantitative-data-analyst-summer-analyst-program-multiple-locations" TargetMode="External"/><Relationship Id="rId1343" Type="http://schemas.openxmlformats.org/officeDocument/2006/relationships/hyperlink" Target="https://huntsman.wd1.myworkdayjobs.com/Huntsman/job/USA---Texas---Houston---The-Woodlands---Corporate-Office/Mechanical-Engineering-Intern_J-020026" TargetMode="External"/><Relationship Id="rId1344" Type="http://schemas.openxmlformats.org/officeDocument/2006/relationships/hyperlink" Target="https://apply.workable.com/hyperlight/j/5581EA0668/" TargetMode="External"/><Relationship Id="rId84" Type="http://schemas.openxmlformats.org/officeDocument/2006/relationships/hyperlink" Target="https://lifeattiktok.com/search/7629188397976586501" TargetMode="External"/><Relationship Id="rId83" Type="http://schemas.openxmlformats.org/officeDocument/2006/relationships/hyperlink" Target="https://lifeattiktok.com/search/7629187524074342709" TargetMode="External"/><Relationship Id="rId86" Type="http://schemas.openxmlformats.org/officeDocument/2006/relationships/hyperlink" Target="https://jobs.bytedance.com/en/position/7667378931599214853" TargetMode="External"/><Relationship Id="rId85" Type="http://schemas.openxmlformats.org/officeDocument/2006/relationships/hyperlink" Target="https://lifeattiktok.com/search/7633668061979543813" TargetMode="External"/><Relationship Id="rId88" Type="http://schemas.openxmlformats.org/officeDocument/2006/relationships/hyperlink" Target="https://jobs.bytedance.com/en/position/7668212952030841093" TargetMode="External"/><Relationship Id="rId87" Type="http://schemas.openxmlformats.org/officeDocument/2006/relationships/hyperlink" Target="https://jobs.bytedance.com/en/position/7667377525182662965" TargetMode="External"/><Relationship Id="rId89" Type="http://schemas.openxmlformats.org/officeDocument/2006/relationships/hyperlink" Target="https://twosigma.avature.net/careers/JobDetail/14096" TargetMode="External"/><Relationship Id="rId709" Type="http://schemas.openxmlformats.org/officeDocument/2006/relationships/hyperlink" Target="https://jobs.ashbyhq.com/human-computer-lab/7d13ae27-1f02-4d9b-8d39-e3d9d67df705/application" TargetMode="External"/><Relationship Id="rId708" Type="http://schemas.openxmlformats.org/officeDocument/2006/relationships/hyperlink" Target="https://jobs.lever.co/genbio/4bdb14ae-e19f-40c8-84db-1307dbdabe74/apply" TargetMode="External"/><Relationship Id="rId707" Type="http://schemas.openxmlformats.org/officeDocument/2006/relationships/hyperlink" Target="https://ejta.fa.us6.oraclecloud.com/hcmUI/CandidateExperience/en/sites/CX_2001/job/9464" TargetMode="External"/><Relationship Id="rId706" Type="http://schemas.openxmlformats.org/officeDocument/2006/relationships/hyperlink" Target="https://edel.fa.us2.oraclecloud.com/hcmUI/CandidateExperience/en/sites/CX_2001/job/22741" TargetMode="External"/><Relationship Id="rId80" Type="http://schemas.openxmlformats.org/officeDocument/2006/relationships/hyperlink" Target="https://lifeattiktok.com/search/7667874197682899205" TargetMode="External"/><Relationship Id="rId82" Type="http://schemas.openxmlformats.org/officeDocument/2006/relationships/hyperlink" Target="https://jobs.bytedance.com/en/position/7667380487805995269/detail" TargetMode="External"/><Relationship Id="rId81" Type="http://schemas.openxmlformats.org/officeDocument/2006/relationships/hyperlink" Target="https://lifeattiktok.com/search/7662662842545539381" TargetMode="External"/><Relationship Id="rId701" Type="http://schemas.openxmlformats.org/officeDocument/2006/relationships/hyperlink" Target="https://campbellsoup.wd5.myworkdayjobs.com/en-US/externalcareers_globalsite/job/USA---NJ---Camden/Data-Engineer--DA-AI-Co-Op_Req-65837" TargetMode="External"/><Relationship Id="rId700" Type="http://schemas.openxmlformats.org/officeDocument/2006/relationships/hyperlink" Target="https://campbellsoup.wd5.myworkdayjobs.com/en-US/externalcareers_globalsite/job/USA---NJ---Camden/Data-Engineer---Agentic-AI---ML-Ops--Co-op-_Req-65843" TargetMode="External"/><Relationship Id="rId705" Type="http://schemas.openxmlformats.org/officeDocument/2006/relationships/hyperlink" Target="https://www.ycombinator.com/companies/dedalus-labs/jobs/YtbvXM8-systems-engineer-summer-2027-intern" TargetMode="External"/><Relationship Id="rId704" Type="http://schemas.openxmlformats.org/officeDocument/2006/relationships/hyperlink" Target="https://www.databricks.com/university/student-fellows" TargetMode="External"/><Relationship Id="rId703" Type="http://schemas.openxmlformats.org/officeDocument/2006/relationships/hyperlink" Target="https://jobs.ashbyhq.com/d-matrix/93a6e6ee-3391-4437-8459-e28eb05eace7/application" TargetMode="External"/><Relationship Id="rId702" Type="http://schemas.openxmlformats.org/officeDocument/2006/relationships/hyperlink" Target="https://caresource.wd1.myworkdayjobs.com/caresource/job/Dayton-OH/CareSource-AI-Intern_R12597" TargetMode="External"/><Relationship Id="rId73" Type="http://schemas.openxmlformats.org/officeDocument/2006/relationships/hyperlink" Target="https://lifeattiktok.com/search/7668415591670417717" TargetMode="External"/><Relationship Id="rId72" Type="http://schemas.openxmlformats.org/officeDocument/2006/relationships/hyperlink" Target="https://lifeattiktok.com/search/7668383643375257909" TargetMode="External"/><Relationship Id="rId75" Type="http://schemas.openxmlformats.org/officeDocument/2006/relationships/hyperlink" Target="https://lifeattiktok.com/search/7669693163422845237" TargetMode="External"/><Relationship Id="rId74" Type="http://schemas.openxmlformats.org/officeDocument/2006/relationships/hyperlink" Target="https://lifeattiktok.com/search/7669707492914727221" TargetMode="External"/><Relationship Id="rId77" Type="http://schemas.openxmlformats.org/officeDocument/2006/relationships/hyperlink" Target="https://lifeattiktok.com/search/7668396597746862341" TargetMode="External"/><Relationship Id="rId76" Type="http://schemas.openxmlformats.org/officeDocument/2006/relationships/hyperlink" Target="https://lifeattiktok.com/search/7662653087863081221" TargetMode="External"/><Relationship Id="rId79" Type="http://schemas.openxmlformats.org/officeDocument/2006/relationships/hyperlink" Target="https://lifeattiktok.com/search/7662672554084059445" TargetMode="External"/><Relationship Id="rId78" Type="http://schemas.openxmlformats.org/officeDocument/2006/relationships/hyperlink" Target="https://lifeattiktok.com/search/7669698648817305909" TargetMode="External"/><Relationship Id="rId71" Type="http://schemas.openxmlformats.org/officeDocument/2006/relationships/hyperlink" Target="https://lifeattiktok.com/search/7669702702763018501" TargetMode="External"/><Relationship Id="rId70" Type="http://schemas.openxmlformats.org/officeDocument/2006/relationships/hyperlink" Target="https://lifeattiktok.com/search/7669711968043092229" TargetMode="External"/><Relationship Id="rId62" Type="http://schemas.openxmlformats.org/officeDocument/2006/relationships/hyperlink" Target="https://lifeattiktok.com/search/7667578131150506293" TargetMode="External"/><Relationship Id="rId1312" Type="http://schemas.openxmlformats.org/officeDocument/2006/relationships/hyperlink" Target="https://borgwarner.wd5.myworkdayjobs.com/en-US/borgwarner_careers/job/Auburn-Hills---Michigan---USA/Software-Engineering-Intern--Year-Round-_R2026-2448-1" TargetMode="External"/><Relationship Id="rId61" Type="http://schemas.openxmlformats.org/officeDocument/2006/relationships/hyperlink" Target="https://www.tesla.com/careers/search/job/273933" TargetMode="External"/><Relationship Id="rId1313" Type="http://schemas.openxmlformats.org/officeDocument/2006/relationships/hyperlink" Target="https://jobs.smartrecruiters.com/BoschGroup/744000129558149" TargetMode="External"/><Relationship Id="rId64" Type="http://schemas.openxmlformats.org/officeDocument/2006/relationships/hyperlink" Target="https://lifeattiktok.com/search/7631062649025857797" TargetMode="External"/><Relationship Id="rId1314" Type="http://schemas.openxmlformats.org/officeDocument/2006/relationships/hyperlink" Target="https://jobs.smartrecruiters.com/BoschGroup/744000131662039" TargetMode="External"/><Relationship Id="rId63" Type="http://schemas.openxmlformats.org/officeDocument/2006/relationships/hyperlink" Target="https://lifeattiktok.com/search/7631063087262419205" TargetMode="External"/><Relationship Id="rId1315" Type="http://schemas.openxmlformats.org/officeDocument/2006/relationships/hyperlink" Target="https://cadence.wd1.myworkdayjobs.com/External_Careers/job/SAN-JOSE/Software-Engineer-Intern_R55128" TargetMode="External"/><Relationship Id="rId66" Type="http://schemas.openxmlformats.org/officeDocument/2006/relationships/hyperlink" Target="https://jobs.bytedance.com/en/position/7668464504736876853/detail" TargetMode="External"/><Relationship Id="rId1316" Type="http://schemas.openxmlformats.org/officeDocument/2006/relationships/hyperlink" Target="https://careers.cargill.com/en/job/minneapolis/operations-management-intern-summer-2027-food-multiple-u-s-locations/23251/93659612048" TargetMode="External"/><Relationship Id="rId65" Type="http://schemas.openxmlformats.org/officeDocument/2006/relationships/hyperlink" Target="https://lifeattiktok.com/search/7629248119245261061" TargetMode="External"/><Relationship Id="rId1317" Type="http://schemas.openxmlformats.org/officeDocument/2006/relationships/hyperlink" Target="https://jobs.ashbyhq.com/centerfield/3279e803-56ab-4e12-8168-c2fd60bc8e60" TargetMode="External"/><Relationship Id="rId68" Type="http://schemas.openxmlformats.org/officeDocument/2006/relationships/hyperlink" Target="https://lifeattiktok.com/search/7669700361976809733" TargetMode="External"/><Relationship Id="rId1318" Type="http://schemas.openxmlformats.org/officeDocument/2006/relationships/hyperlink" Target="https://copart.wd12.myworkdayjobs.com/Copart/job/Dallas-TX---Headquarters/Database-Engineering-Intern_JR109636" TargetMode="External"/><Relationship Id="rId67" Type="http://schemas.openxmlformats.org/officeDocument/2006/relationships/hyperlink" Target="https://lifeattiktok.com/search/7631599293708126517" TargetMode="External"/><Relationship Id="rId1319" Type="http://schemas.openxmlformats.org/officeDocument/2006/relationships/hyperlink" Target="https://copart.wd12.myworkdayjobs.com/Copart/job/Dallas-TX---Headquarters/Field-Engineering-Intern_JR104026" TargetMode="External"/><Relationship Id="rId729" Type="http://schemas.openxmlformats.org/officeDocument/2006/relationships/hyperlink" Target="https://jobs.ashbyhq.com/astera/c2a48c1b-c4c4-4333-addf-313c47e26066" TargetMode="External"/><Relationship Id="rId728" Type="http://schemas.openxmlformats.org/officeDocument/2006/relationships/hyperlink" Target="https://ardian.wd103.myworkdayjobs.com/ArdianCareers/job/New-York/Data-Scientist-Intern_JR1001434" TargetMode="External"/><Relationship Id="rId60" Type="http://schemas.openxmlformats.org/officeDocument/2006/relationships/hyperlink" Target="https://www.tesla.com/careers/search/job/257048" TargetMode="External"/><Relationship Id="rId723" Type="http://schemas.openxmlformats.org/officeDocument/2006/relationships/hyperlink" Target="https://job-boards.greenhouse.io/vestwell/jobs/7722044003" TargetMode="External"/><Relationship Id="rId722" Type="http://schemas.openxmlformats.org/officeDocument/2006/relationships/hyperlink" Target="https://lifeattiktok.com/search/7639509050870434101" TargetMode="External"/><Relationship Id="rId721" Type="http://schemas.openxmlformats.org/officeDocument/2006/relationships/hyperlink" Target="https://www.tesla.com/careers/search/job/269828" TargetMode="External"/><Relationship Id="rId720" Type="http://schemas.openxmlformats.org/officeDocument/2006/relationships/hyperlink" Target="https://sailpoint.wd1.myworkdayjobs.com/en-US/SailPoint/job/Headquarters-Austin-Texas-USA/AI-Data-Engineer---Intern_R013414" TargetMode="External"/><Relationship Id="rId727" Type="http://schemas.openxmlformats.org/officeDocument/2006/relationships/hyperlink" Target="https://jobs.ashbyhq.com/anthelioncap/5e2ea37b-2369-474e-b717-c24c60976e96" TargetMode="External"/><Relationship Id="rId726" Type="http://schemas.openxmlformats.org/officeDocument/2006/relationships/hyperlink" Target="https://www.workato.com/careers?gh_jid=8492935002" TargetMode="External"/><Relationship Id="rId725" Type="http://schemas.openxmlformats.org/officeDocument/2006/relationships/hyperlink" Target="https://winlandfoods.wd1.myworkdayjobs.com/external/job/USA-IL-Oak-Brook/Product-Development-Intern_R28807" TargetMode="External"/><Relationship Id="rId724" Type="http://schemas.openxmlformats.org/officeDocument/2006/relationships/hyperlink" Target="https://cgg.wd103.myworkdayjobs.com/viridiencareers/job/Houston-United-States-of-America/AI-Full-Stack-Engineering--Intern-_JR101267-2" TargetMode="External"/><Relationship Id="rId69" Type="http://schemas.openxmlformats.org/officeDocument/2006/relationships/hyperlink" Target="https://lifeattiktok.com/search/7669709472078170373" TargetMode="External"/><Relationship Id="rId1310" Type="http://schemas.openxmlformats.org/officeDocument/2006/relationships/hyperlink" Target="https://group.bnpparibas/en/careers/job-offer/2027-summer-analyst-internship-corporate-functions-operations" TargetMode="External"/><Relationship Id="rId1311" Type="http://schemas.openxmlformats.org/officeDocument/2006/relationships/hyperlink" Target="https://group.bnpparibas/en/careers/job-offer/2027-summer-analyst-internship-global-markets-sales-boston-ma" TargetMode="External"/><Relationship Id="rId51" Type="http://schemas.openxmlformats.org/officeDocument/2006/relationships/hyperlink" Target="https://www.janestreet.com/join-jane-street/position/8347286002/" TargetMode="External"/><Relationship Id="rId1301" Type="http://schemas.openxmlformats.org/officeDocument/2006/relationships/hyperlink" Target="https://jobs.ashbyhq.com/AtomicSemi/947338ca-e135-4398-9aa3-79e131bc03d5?jr_id=69e8f6053aa0c479643a5ee5" TargetMode="External"/><Relationship Id="rId50" Type="http://schemas.openxmlformats.org/officeDocument/2006/relationships/hyperlink" Target="https://www.hudsonrivertrading.com/careers/job/?gh_jid=8059837" TargetMode="External"/><Relationship Id="rId1302" Type="http://schemas.openxmlformats.org/officeDocument/2006/relationships/hyperlink" Target="https://careers-axway.icims.com/jobs/8659/software-engineering-internship/job" TargetMode="External"/><Relationship Id="rId53" Type="http://schemas.openxmlformats.org/officeDocument/2006/relationships/hyperlink" Target="https://jobs.ashbyhq.com/modal/38888294-6bc7-4dab-b072-6d0f0c2ed79a" TargetMode="External"/><Relationship Id="rId1303" Type="http://schemas.openxmlformats.org/officeDocument/2006/relationships/hyperlink" Target="https://jobs.ashbyhq.com/base-power/a92c9d93-eac0-4da5-b3f2-edf1eeef146b" TargetMode="External"/><Relationship Id="rId52" Type="http://schemas.openxmlformats.org/officeDocument/2006/relationships/hyperlink" Target="https://www.janestreet.com/join-jane-street/position/5869205002/" TargetMode="External"/><Relationship Id="rId1304" Type="http://schemas.openxmlformats.org/officeDocument/2006/relationships/hyperlink" Target="https://jobs.ashbyhq.com/base-power/5353ea33-57d4-46fa-9a96-e392a3f841bc/application" TargetMode="External"/><Relationship Id="rId55" Type="http://schemas.openxmlformats.org/officeDocument/2006/relationships/hyperlink" Target="https://lifeattiktok.com/search/7629500062003218741" TargetMode="External"/><Relationship Id="rId1305" Type="http://schemas.openxmlformats.org/officeDocument/2006/relationships/hyperlink" Target="https://jobs.ashbyhq.com/base-power/5353ea33-57d4-46fa-9a96-e392a3f841bc" TargetMode="External"/><Relationship Id="rId54" Type="http://schemas.openxmlformats.org/officeDocument/2006/relationships/hyperlink" Target="https://lifeattiktok.com/search/7668183035989281029" TargetMode="External"/><Relationship Id="rId1306" Type="http://schemas.openxmlformats.org/officeDocument/2006/relationships/hyperlink" Target="https://jobs.ashbyhq.com/beaconsoftware/2452d342-a069-4eda-adbe-9df296808ca1" TargetMode="External"/><Relationship Id="rId57" Type="http://schemas.openxmlformats.org/officeDocument/2006/relationships/hyperlink" Target="https://www.amazon.jobs/en/jobs/3132414/amazon-industrial-robotics-applied-scientist-ii-intern-co-op-2026-amazon-industrial-robotics" TargetMode="External"/><Relationship Id="rId1307" Type="http://schemas.openxmlformats.org/officeDocument/2006/relationships/hyperlink" Target="https://bdx.wd1.myworkdayjobs.com/EXTERNAL_CAREER_SITE_USA/job/USA-UT---Salt-Lake-City-BAS/Quality-Engineering-Intern_R-546478" TargetMode="External"/><Relationship Id="rId56" Type="http://schemas.openxmlformats.org/officeDocument/2006/relationships/hyperlink" Target="https://www.pathai.com/career/job-post?gh_jid=8202342002" TargetMode="External"/><Relationship Id="rId1308" Type="http://schemas.openxmlformats.org/officeDocument/2006/relationships/hyperlink" Target="https://bigcommerce.wd12.myworkdayjobs.com/Commerce/job/US---GA---Atlanta-Office/Intern--Software-Engineering---Typescript---Full-Stack_JR102475" TargetMode="External"/><Relationship Id="rId1309" Type="http://schemas.openxmlformats.org/officeDocument/2006/relationships/hyperlink" Target="https://job-boards.greenhouse.io/billiontoone/jobs/4702398005" TargetMode="External"/><Relationship Id="rId719" Type="http://schemas.openxmlformats.org/officeDocument/2006/relationships/hyperlink" Target="https://ryan.wd1.myworkdayjobs.com/Students-Graduates/job/Plano/AI-ML-Engineer-Intern--Data-Engineering_R0019781" TargetMode="External"/><Relationship Id="rId718" Type="http://schemas.openxmlformats.org/officeDocument/2006/relationships/hyperlink" Target="https://jobs.ashbyhq.com/rivianvw.tech/3864f83a-7b29-4c96-b00e-436d60c0508a/application" TargetMode="External"/><Relationship Id="rId717" Type="http://schemas.openxmlformats.org/officeDocument/2006/relationships/hyperlink" Target="https://job-boards.greenhouse.io/relaypro/jobs/8096572" TargetMode="External"/><Relationship Id="rId712" Type="http://schemas.openxmlformats.org/officeDocument/2006/relationships/hyperlink" Target="https://livanova.wd5.myworkdayjobs.com/search/job/Houston-Texas-United-States/Systems-Engineering---AI-Workflows-Intern_JR-14385" TargetMode="External"/><Relationship Id="rId711" Type="http://schemas.openxmlformats.org/officeDocument/2006/relationships/hyperlink" Target="https://job-boards.greenhouse.io/lilasciences/jobs/4279721009" TargetMode="External"/><Relationship Id="rId710" Type="http://schemas.openxmlformats.org/officeDocument/2006/relationships/hyperlink" Target="https://jobs.ashbyhq.com/kos.ai/efab6ffb-9658-47f7-8b5f-a295c55957d3" TargetMode="External"/><Relationship Id="rId716" Type="http://schemas.openxmlformats.org/officeDocument/2006/relationships/hyperlink" Target="https://jobs.ashbyhq.com/pebl/dda67c17-87a7-477b-a0d4-a748fd75ae44" TargetMode="External"/><Relationship Id="rId715" Type="http://schemas.openxmlformats.org/officeDocument/2006/relationships/hyperlink" Target="https://onto.wd1.myworkdayjobs.com/onto_careers/job/Hillsboro-OR/Contractor_R-6046" TargetMode="External"/><Relationship Id="rId714" Type="http://schemas.openxmlformats.org/officeDocument/2006/relationships/hyperlink" Target="https://job-boards.greenhouse.io/oldcastlebuildingenvelope/jobs/4238154009" TargetMode="External"/><Relationship Id="rId713" Type="http://schemas.openxmlformats.org/officeDocument/2006/relationships/hyperlink" Target="https://boards.greenhouse.io/neuralink/jobs/6594261003?gh_jid=6594261003" TargetMode="External"/><Relationship Id="rId59" Type="http://schemas.openxmlformats.org/officeDocument/2006/relationships/hyperlink" Target="https://jobright.ai/jobs/info/6a2a2793495d985b994274cb" TargetMode="External"/><Relationship Id="rId58" Type="http://schemas.openxmlformats.org/officeDocument/2006/relationships/hyperlink" Target="https://www.amazon.jobs/en/jobs/3136266/robotics-software-development-engineer-intern-co-op-2026" TargetMode="External"/><Relationship Id="rId1300" Type="http://schemas.openxmlformats.org/officeDocument/2006/relationships/hyperlink" Target="https://jobs.ashbyhq.com/AtomicSemi/867c67f7-20b5-4726-b9da-85a760d3851e/application?jr_id=69e8eecae0cd471b2f138f47" TargetMode="External"/><Relationship Id="rId349" Type="http://schemas.openxmlformats.org/officeDocument/2006/relationships/hyperlink" Target="https://jobs.ashbyhq.com/ctgt/f657c2f5-125e-42b6-a68a-646bbea3d155" TargetMode="External"/><Relationship Id="rId348" Type="http://schemas.openxmlformats.org/officeDocument/2006/relationships/hyperlink" Target="https://cnoinc.wd5.myworkdayjobs.com/Careers/job/Carmel-IN/Artificial-Intelligence--AI--IT-Intern-2027---REMOTE_JR170389" TargetMode="External"/><Relationship Id="rId347" Type="http://schemas.openxmlformats.org/officeDocument/2006/relationships/hyperlink" Target="https://www.pinterestcareers.com/jobs/?gh_jid=7255640" TargetMode="External"/><Relationship Id="rId346" Type="http://schemas.openxmlformats.org/officeDocument/2006/relationships/hyperlink" Target="https://careers-peraton.icims.com/jobs/167460/job?mobile=true&amp;needsRedirect=false" TargetMode="External"/><Relationship Id="rId341" Type="http://schemas.openxmlformats.org/officeDocument/2006/relationships/hyperlink" Target="https://jobs.lever.co/palantir/8bcf4f33-0a79-4248-bbfd-49ac4be9dd8e/apply" TargetMode="External"/><Relationship Id="rId340" Type="http://schemas.openxmlformats.org/officeDocument/2006/relationships/hyperlink" Target="https://jobs.lever.co/palantir/4d29249a-d7e8-4c39-880d-3b35d7b2f6f6/apply" TargetMode="External"/><Relationship Id="rId345" Type="http://schemas.openxmlformats.org/officeDocument/2006/relationships/hyperlink" Target="https://jobs.lever.co/palantir/030ece08-c341-4959-bdfe-314e89b691ce" TargetMode="External"/><Relationship Id="rId344" Type="http://schemas.openxmlformats.org/officeDocument/2006/relationships/hyperlink" Target="https://jobs.lever.co/palantir/655f9937-a4ce-4e7d-80e2-a6659af07329/apply" TargetMode="External"/><Relationship Id="rId343" Type="http://schemas.openxmlformats.org/officeDocument/2006/relationships/hyperlink" Target="https://jobs.lever.co/palantir/37964982-9b4c-471e-a1d8-fb8f45d7f116/apply" TargetMode="External"/><Relationship Id="rId342" Type="http://schemas.openxmlformats.org/officeDocument/2006/relationships/hyperlink" Target="https://jobs.lever.co/palantir/b229baac-494b-4a0d-9a13-2e38806e06f3/apply" TargetMode="External"/><Relationship Id="rId338" Type="http://schemas.openxmlformats.org/officeDocument/2006/relationships/hyperlink" Target="https://www.janestreet.com/join-jane-street/position/8624440002/" TargetMode="External"/><Relationship Id="rId337" Type="http://schemas.openxmlformats.org/officeDocument/2006/relationships/hyperlink" Target="https://www.janestreet.com/join-jane-street/position/8632723002/" TargetMode="External"/><Relationship Id="rId336" Type="http://schemas.openxmlformats.org/officeDocument/2006/relationships/hyperlink" Target="https://generalmotors.wd5.myworkdayjobs.com/en-US/careers_gm/job/Warren-Michigan-United-States-of-America/XMLNAME-2026-Fall-Intern---Research---Development--AI-ML_JR-202612795" TargetMode="External"/><Relationship Id="rId335" Type="http://schemas.openxmlformats.org/officeDocument/2006/relationships/hyperlink" Target="https://roche.wd3.myworkdayjobs.com/en-US/rog-a2o-gene/job/South-San-Francisco/XMLNAME-2026-Fall-Intern---Frontier-Research--Prescient-Design--AI-for-Drug-Discovery-_202605-113632" TargetMode="External"/><Relationship Id="rId339" Type="http://schemas.openxmlformats.org/officeDocument/2006/relationships/hyperlink" Target="https://jobs.lever.co/palantir/e0010393-c300-446f-bf67-fa2ef067f16f/apply" TargetMode="External"/><Relationship Id="rId330" Type="http://schemas.openxmlformats.org/officeDocument/2006/relationships/hyperlink" Target="https://cisco.wd5.myworkdayjobs.com/cisco_careers/job/San-Jose-California-US/Software-Engineer-Data-AI-Intelligent-Systems-II--Intern----United-States_2001127" TargetMode="External"/><Relationship Id="rId334" Type="http://schemas.openxmlformats.org/officeDocument/2006/relationships/hyperlink" Target="https://careers-cotiviti.icims.com/jobs/19341/job?mobile=true&amp;needsRedirect=false" TargetMode="External"/><Relationship Id="rId333" Type="http://schemas.openxmlformats.org/officeDocument/2006/relationships/hyperlink" Target="https://simplify.jobs/p/c41207da-ee6d-4ed5-9424-cb9ba2123dcf" TargetMode="External"/><Relationship Id="rId332" Type="http://schemas.openxmlformats.org/officeDocument/2006/relationships/hyperlink" Target="https://www.citadelsecurities.com/careers/details/fpga-engineer-intern-us/" TargetMode="External"/><Relationship Id="rId331" Type="http://schemas.openxmlformats.org/officeDocument/2006/relationships/hyperlink" Target="https://cisco.wd5.myworkdayjobs.com/cisco_careers/job/San-Jose-California-US/Software-Engineer-Data-AI-Intelligent-Systems-I--Intern----United-States_2001254" TargetMode="External"/><Relationship Id="rId370" Type="http://schemas.openxmlformats.org/officeDocument/2006/relationships/hyperlink" Target="https://builtin.com/job/software-engineering-internship/10240509" TargetMode="External"/><Relationship Id="rId369" Type="http://schemas.openxmlformats.org/officeDocument/2006/relationships/hyperlink" Target="https://jobright.ai/jobs/info/6a0fad5383d7144289822170" TargetMode="External"/><Relationship Id="rId368" Type="http://schemas.openxmlformats.org/officeDocument/2006/relationships/hyperlink" Target="https://www.amazon.jobs/en/jobs/10412530/software-development-engineer-intern-aws-data-services-fall-2026-us" TargetMode="External"/><Relationship Id="rId363" Type="http://schemas.openxmlformats.org/officeDocument/2006/relationships/hyperlink" Target="https://lifeattiktok.com/search/7669683639101884725" TargetMode="External"/><Relationship Id="rId362" Type="http://schemas.openxmlformats.org/officeDocument/2006/relationships/hyperlink" Target="https://lifeattiktok.com/search/7669700822370945333" TargetMode="External"/><Relationship Id="rId361" Type="http://schemas.openxmlformats.org/officeDocument/2006/relationships/hyperlink" Target="https://lifeattiktok.com/search/7669682935444900149" TargetMode="External"/><Relationship Id="rId360" Type="http://schemas.openxmlformats.org/officeDocument/2006/relationships/hyperlink" Target="https://lifeattiktok.com/search/7668533140146817333" TargetMode="External"/><Relationship Id="rId367" Type="http://schemas.openxmlformats.org/officeDocument/2006/relationships/hyperlink" Target="https://www.zipline.com/open-roles?gh_jid=7787509003" TargetMode="External"/><Relationship Id="rId366" Type="http://schemas.openxmlformats.org/officeDocument/2006/relationships/hyperlink" Target="https://www.zipline.com/open-roles?gh_jid=7767622003" TargetMode="External"/><Relationship Id="rId365" Type="http://schemas.openxmlformats.org/officeDocument/2006/relationships/hyperlink" Target="https://job-boards.eu.greenhouse.io/veeamsoftware/jobs/4857832101" TargetMode="External"/><Relationship Id="rId364" Type="http://schemas.openxmlformats.org/officeDocument/2006/relationships/hyperlink" Target="https://simplify.jobs/p/b6cb7794-c736-4019-b882-94ec5758132d/Strategy-Product-Manager-Intern-Platform-Responsibility" TargetMode="External"/><Relationship Id="rId95" Type="http://schemas.openxmlformats.org/officeDocument/2006/relationships/hyperlink" Target="https://job-boards.greenhouse.io/figureai/jobs/4691070006" TargetMode="External"/><Relationship Id="rId94" Type="http://schemas.openxmlformats.org/officeDocument/2006/relationships/hyperlink" Target="https://www.metacareers.com/jobs/924149567345400" TargetMode="External"/><Relationship Id="rId97" Type="http://schemas.openxmlformats.org/officeDocument/2006/relationships/hyperlink" Target="https://jobs.ashbyhq.com/skydio/7d9dbb60-4ca1-4ba8-8bae-5ebfded4a915" TargetMode="External"/><Relationship Id="rId96" Type="http://schemas.openxmlformats.org/officeDocument/2006/relationships/hyperlink" Target="https://www.pathai.com/careers/8202342002?gh_jid=8202342002" TargetMode="External"/><Relationship Id="rId99" Type="http://schemas.openxmlformats.org/officeDocument/2006/relationships/hyperlink" Target="https://sonyglobal.wd1.myworkdayjobs.com/en-US/sonyglobalcareers/job/Remote---Michigan/Research-Intern-on-Generative-and-Protective-AI-for-Content-Creation_JR-118961" TargetMode="External"/><Relationship Id="rId98" Type="http://schemas.openxmlformats.org/officeDocument/2006/relationships/hyperlink" Target="https://jobs.ashbyhq.com/skydio/f6320e9b-4eed-408d-8d37-d509fb0406ee" TargetMode="External"/><Relationship Id="rId91" Type="http://schemas.openxmlformats.org/officeDocument/2006/relationships/hyperlink" Target="https://nuro.ai/careersitem?gh_jid=7351061" TargetMode="External"/><Relationship Id="rId90" Type="http://schemas.openxmlformats.org/officeDocument/2006/relationships/hyperlink" Target="https://nuro.ai/careersitem?gh_jid=7594577" TargetMode="External"/><Relationship Id="rId93" Type="http://schemas.openxmlformats.org/officeDocument/2006/relationships/hyperlink" Target="https://jobs.smartrecruiters.com/Intuitive/744000133458290" TargetMode="External"/><Relationship Id="rId92" Type="http://schemas.openxmlformats.org/officeDocument/2006/relationships/hyperlink" Target="https://jobs.lever.co/zoox/737259b5-4258-4557-b7e0-0627b3d870a5/apply" TargetMode="External"/><Relationship Id="rId359" Type="http://schemas.openxmlformats.org/officeDocument/2006/relationships/hyperlink" Target="https://careers-sargentlundy.icims.com/jobs/25857/job?mobile=true&amp;needsRedirect=false" TargetMode="External"/><Relationship Id="rId358" Type="http://schemas.openxmlformats.org/officeDocument/2006/relationships/hyperlink" Target="https://jobs.lever.co/palantir/9db71277-3a9a-481b-a2a3-25c3125b0e8a" TargetMode="External"/><Relationship Id="rId357" Type="http://schemas.openxmlformats.org/officeDocument/2006/relationships/hyperlink" Target="https://nrel.wd5.myworkdayjobs.com/NLR/job/Golden-CO/Graduate-Intern---Focused-Ion-Beam--Electron-Microscopy--and-Autonomous-Characterization_R14431" TargetMode="External"/><Relationship Id="rId352" Type="http://schemas.openxmlformats.org/officeDocument/2006/relationships/hyperlink" Target="https://draper.wd5.myworkdayjobs.com/Draper_Careers/job/Houston-TX/Space-GNC-Co-Op--Fall-2026-_JR002721" TargetMode="External"/><Relationship Id="rId351" Type="http://schemas.openxmlformats.org/officeDocument/2006/relationships/hyperlink" Target="https://boards.greenhouse.io/embed/job_app?token=6883068002" TargetMode="External"/><Relationship Id="rId350" Type="http://schemas.openxmlformats.org/officeDocument/2006/relationships/hyperlink" Target="https://simplify.jobs/p/ae507b57-02d4-4bfc-a7e8-6e6d6c0a6521" TargetMode="External"/><Relationship Id="rId356" Type="http://schemas.openxmlformats.org/officeDocument/2006/relationships/hyperlink" Target="https://apply.careers.microsoft.com/careers/job/1970393556953114" TargetMode="External"/><Relationship Id="rId355" Type="http://schemas.openxmlformats.org/officeDocument/2006/relationships/hyperlink" Target="https://job-boards.greenhouse.io/kodiak/jobs/4174475009" TargetMode="External"/><Relationship Id="rId354" Type="http://schemas.openxmlformats.org/officeDocument/2006/relationships/hyperlink" Target="https://job-boards.greenhouse.io/kodiak/jobs/4174469009" TargetMode="External"/><Relationship Id="rId353" Type="http://schemas.openxmlformats.org/officeDocument/2006/relationships/hyperlink" Target="https://jobs.ashbyhq.com/homebase/a7ab59c0-786e-4675-b684-2ed19b240fb2" TargetMode="External"/><Relationship Id="rId1378" Type="http://schemas.openxmlformats.org/officeDocument/2006/relationships/hyperlink" Target="http://prizepicks.com/position?gh_jid=7711235003" TargetMode="External"/><Relationship Id="rId1379" Type="http://schemas.openxmlformats.org/officeDocument/2006/relationships/hyperlink" Target="http://prizepicks.com/position?gh_jid=7726443003" TargetMode="External"/><Relationship Id="rId305" Type="http://schemas.openxmlformats.org/officeDocument/2006/relationships/hyperlink" Target="https://www.optiver.com/join-us/jobs/8451782002/?gh_jid=8451782002" TargetMode="External"/><Relationship Id="rId789" Type="http://schemas.openxmlformats.org/officeDocument/2006/relationships/hyperlink" Target="https://job-boards.greenhouse.io/appian/jobs/8041243" TargetMode="External"/><Relationship Id="rId304" Type="http://schemas.openxmlformats.org/officeDocument/2006/relationships/hyperlink" Target="https://optiver.com/working-at-optiver/career-opportunities/8175264002/" TargetMode="External"/><Relationship Id="rId788" Type="http://schemas.openxmlformats.org/officeDocument/2006/relationships/hyperlink" Target="https://jobs.ashbyhq.com/anthelioncap/5e2ea37b-2369-474e-b717-c24c60976e96/application?embed=true" TargetMode="External"/><Relationship Id="rId303" Type="http://schemas.openxmlformats.org/officeDocument/2006/relationships/hyperlink" Target="https://intel.wd1.myworkdayjobs.com/en-us/external/job/Virtual-US/AI-Software-Engineer-Graduate-Intern_JR0285989" TargetMode="External"/><Relationship Id="rId787" Type="http://schemas.openxmlformats.org/officeDocument/2006/relationships/hyperlink" Target="https://www.amwins.com/who-we-are/careers/open-positions?gh_jid=4302229009" TargetMode="External"/><Relationship Id="rId302" Type="http://schemas.openxmlformats.org/officeDocument/2006/relationships/hyperlink" Target="https://instacart.careers/job/?gh_jid=7532267" TargetMode="External"/><Relationship Id="rId786" Type="http://schemas.openxmlformats.org/officeDocument/2006/relationships/hyperlink" Target="https://applyguy.ai/jobs?company=Altera&amp;job=23c5e711-8b9d-438b-89a4-6462f4744c98" TargetMode="External"/><Relationship Id="rId309" Type="http://schemas.openxmlformats.org/officeDocument/2006/relationships/hyperlink" Target="https://warnerbros.wd5.myworkdayjobs.com/global/job/NY-New-York-30-Hudson-Yards/Research--Analytics---Strategy-Internships--NYC---Fall-2026_R000107153" TargetMode="External"/><Relationship Id="rId308" Type="http://schemas.openxmlformats.org/officeDocument/2006/relationships/hyperlink" Target="https://careers.sig.com/quantitative-systematic-trading-quantitative-research/jobs/10819" TargetMode="External"/><Relationship Id="rId307" Type="http://schemas.openxmlformats.org/officeDocument/2006/relationships/hyperlink" Target="https://www.optiver.com/join-us/jobs/quantitative-research-and-machine-learning/chicago/quantitative-research-intern-phd-summer-2027/" TargetMode="External"/><Relationship Id="rId306" Type="http://schemas.openxmlformats.org/officeDocument/2006/relationships/hyperlink" Target="https://www.optiver.com/join-us/jobs/quantitative-research-and-machine-learning/austin/quantitative-research-intern-phd-summer-2027/" TargetMode="External"/><Relationship Id="rId781" Type="http://schemas.openxmlformats.org/officeDocument/2006/relationships/hyperlink" Target="https://job-boards.greenhouse.io/walleyecapital-external-students/jobs/4679224006" TargetMode="External"/><Relationship Id="rId1370" Type="http://schemas.openxmlformats.org/officeDocument/2006/relationships/hyperlink" Target="https://jobs.lever.co/calstart/cbd0d758-18b0-481d-9e67-a065682f30ea" TargetMode="External"/><Relationship Id="rId780" Type="http://schemas.openxmlformats.org/officeDocument/2006/relationships/hyperlink" Target="https://www.summerofbitcoin.org/" TargetMode="External"/><Relationship Id="rId1371" Type="http://schemas.openxmlformats.org/officeDocument/2006/relationships/hyperlink" Target="https://cisive.wd108.myworkdayjobs.com/Cisive/job/Remote---Maryland/Intern--Software-Developer_JR100211" TargetMode="External"/><Relationship Id="rId1372" Type="http://schemas.openxmlformats.org/officeDocument/2006/relationships/hyperlink" Target="https://cnoinc.wd5.myworkdayjobs.com/Careers/job/Carmel-IN/Cyber-Security-IT-Intern---REMOTE_JR170419" TargetMode="External"/><Relationship Id="rId1373" Type="http://schemas.openxmlformats.org/officeDocument/2006/relationships/hyperlink" Target="https://job-boards.greenhouse.io/kodiak/jobs/4174629009" TargetMode="External"/><Relationship Id="rId301" Type="http://schemas.openxmlformats.org/officeDocument/2006/relationships/hyperlink" Target="https://instacart.careers/job/?gh_jid=5917202" TargetMode="External"/><Relationship Id="rId785" Type="http://schemas.openxmlformats.org/officeDocument/2006/relationships/hyperlink" Target="https://jobs.lever.co/acds/41bee5e2-6477-428f-b359-34b4071d545f" TargetMode="External"/><Relationship Id="rId1374" Type="http://schemas.openxmlformats.org/officeDocument/2006/relationships/hyperlink" Target="https://marmon.wd501.myworkdayjobs.com/Marmon_MSIP_Internships/job/Remote---United-States-of-America/Mechanical-Engineer-Intern_JR0000036528-1" TargetMode="External"/><Relationship Id="rId300" Type="http://schemas.openxmlformats.org/officeDocument/2006/relationships/hyperlink" Target="https://job-boards.eu.greenhouse.io/imc/jobs/4907399101" TargetMode="External"/><Relationship Id="rId784" Type="http://schemas.openxmlformats.org/officeDocument/2006/relationships/hyperlink" Target="https://jobs.lever.co/acds/01fdf41b-a835-4e00-8d01-0275677a8f08" TargetMode="External"/><Relationship Id="rId1375" Type="http://schemas.openxmlformats.org/officeDocument/2006/relationships/hyperlink" Target="https://careers.medpace.com/jobs/12803" TargetMode="External"/><Relationship Id="rId783" Type="http://schemas.openxmlformats.org/officeDocument/2006/relationships/hyperlink" Target="https://jobs.disneycareers.com/job/new-york/abc-news-product-management-and-engineering-intern-summer-fall-2026/391/93958488896" TargetMode="External"/><Relationship Id="rId1376" Type="http://schemas.openxmlformats.org/officeDocument/2006/relationships/hyperlink" Target="https://talentmanagementsolution.wd3.myworkdayjobs.com/JonasSoftwareUSA/job/Remote---USA/Software-Engineer---Intern_R52705" TargetMode="External"/><Relationship Id="rId782" Type="http://schemas.openxmlformats.org/officeDocument/2006/relationships/hyperlink" Target="https://job-boards.greenhouse.io/walleyecapital-external-students/jobs/4679434006" TargetMode="External"/><Relationship Id="rId1377" Type="http://schemas.openxmlformats.org/officeDocument/2006/relationships/hyperlink" Target="https://motorolasolutions.wd5.myworkdayjobs.com/en-US/careers/job/Massachusetts-US-Offsite/Software-Engineering--Co-Op_R66728" TargetMode="External"/><Relationship Id="rId1367" Type="http://schemas.openxmlformats.org/officeDocument/2006/relationships/hyperlink" Target="https://wustl.wd1.myworkdayjobs.com/en-US/external/job/Washington-University-Medical-Campus/Software-Engineering-Intern--Time-Limited-Remote----WashU-IT_JR93463" TargetMode="External"/><Relationship Id="rId1368" Type="http://schemas.openxmlformats.org/officeDocument/2006/relationships/hyperlink" Target="https://careers-wipfli.icims.com/jobs/7972/erp-tech-consulting-internship--summer-2027/job" TargetMode="External"/><Relationship Id="rId1369" Type="http://schemas.openxmlformats.org/officeDocument/2006/relationships/hyperlink" Target="https://emit.fa.ca3.oraclecloud.com/hcmUI/CandidateExperience/en/sites/CX_2001/job/88869" TargetMode="External"/><Relationship Id="rId778" Type="http://schemas.openxmlformats.org/officeDocument/2006/relationships/hyperlink" Target="https://ats.rippling.com/rippling/jobs/35b3ba25-ff2e-4b68-a2d7-61be26f2b24a" TargetMode="External"/><Relationship Id="rId777" Type="http://schemas.openxmlformats.org/officeDocument/2006/relationships/hyperlink" Target="https://jobs.ashbyhq.com/neocognition/f6b58e72-94eb-4090-a84e-d96197ffeb76/application" TargetMode="External"/><Relationship Id="rId776" Type="http://schemas.openxmlformats.org/officeDocument/2006/relationships/hyperlink" Target="https://mvp.microsoft.com/studentambassadors" TargetMode="External"/><Relationship Id="rId775" Type="http://schemas.openxmlformats.org/officeDocument/2006/relationships/hyperlink" Target="https://job-boards.greenhouse.io/integra/jobs/5134592008" TargetMode="External"/><Relationship Id="rId779" Type="http://schemas.openxmlformats.org/officeDocument/2006/relationships/hyperlink" Target="https://job-boards.greenhouse.io/schonfeld/jobs/7635430" TargetMode="External"/><Relationship Id="rId770" Type="http://schemas.openxmlformats.org/officeDocument/2006/relationships/hyperlink" Target="https://www.deshaw.com/careers/systems-administrator-intern-new-york-5921" TargetMode="External"/><Relationship Id="rId1360" Type="http://schemas.openxmlformats.org/officeDocument/2006/relationships/hyperlink" Target="https://tencent.wd1.myworkdayjobs.com/en-US/tencent_careers/job/US-California-Los-Angeles/Cloud-Media-Services-Intern_R106872" TargetMode="External"/><Relationship Id="rId1361" Type="http://schemas.openxmlformats.org/officeDocument/2006/relationships/hyperlink" Target="https://tetramem.hrmdirect.com/employment/job-opening.php?req=3491042" TargetMode="External"/><Relationship Id="rId1362" Type="http://schemas.openxmlformats.org/officeDocument/2006/relationships/hyperlink" Target="https://job-boards.greenhouse.io/transmarketgroup/jobs/5151577007?gh_jid=5151577007" TargetMode="External"/><Relationship Id="rId774" Type="http://schemas.openxmlformats.org/officeDocument/2006/relationships/hyperlink" Target="https://iheartmedia.wd5.myworkdayjobs.com/External_iHM/job/Virtual-FL/Research-Intern_Req37325" TargetMode="External"/><Relationship Id="rId1363" Type="http://schemas.openxmlformats.org/officeDocument/2006/relationships/hyperlink" Target="https://tricentis.wd1.myworkdayjobs.com/en-US/tricentis_careers/job/Austin-Texas/Software-Engineering-Intern_JR105664" TargetMode="External"/><Relationship Id="rId773" Type="http://schemas.openxmlformats.org/officeDocument/2006/relationships/hyperlink" Target="https://gevernova.wd5.myworkdayjobs.com/vernova_externalsite/job/Atlanta/GE-Vernova-Digital-Technology-Internship---Summer-2027_R5049176-3" TargetMode="External"/><Relationship Id="rId1364" Type="http://schemas.openxmlformats.org/officeDocument/2006/relationships/hyperlink" Target="https://job-boards.greenhouse.io/truveta/jobs/5659745004" TargetMode="External"/><Relationship Id="rId772" Type="http://schemas.openxmlformats.org/officeDocument/2006/relationships/hyperlink" Target="https://job-boards.greenhouse.io/flowtraders/jobs/8047166" TargetMode="External"/><Relationship Id="rId1365" Type="http://schemas.openxmlformats.org/officeDocument/2006/relationships/hyperlink" Target="https://uline.wd1.myworkdayjobs.com/en-US/Uline_Careers/job/Pleasant-Prairie-WI/Operations-Analyst-Internship---Summer-2027_R265822" TargetMode="External"/><Relationship Id="rId771" Type="http://schemas.openxmlformats.org/officeDocument/2006/relationships/hyperlink" Target="https://job-boards.greenhouse.io/fiveringsllc/jobs/5139668008" TargetMode="External"/><Relationship Id="rId1366" Type="http://schemas.openxmlformats.org/officeDocument/2006/relationships/hyperlink" Target="https://ats.rippling.com/veryable-careers/jobs/cf74672c-c9c5-4be5-8858-04abfd64c20f" TargetMode="External"/><Relationship Id="rId327" Type="http://schemas.openxmlformats.org/officeDocument/2006/relationships/hyperlink" Target="https://interdigital.wd5.myworkdayjobs.com/InterDigital_Intern/job/Conshohocken-PA/Generative-AI-Implementation-Intern_REQ26-1093" TargetMode="External"/><Relationship Id="rId326" Type="http://schemas.openxmlformats.org/officeDocument/2006/relationships/hyperlink" Target="https://applyguy.ai/jobs?company=Hudson+River+Trading&amp;job=4b0b0535-7a39-4636-b6c8-c993bf61d2f1" TargetMode="External"/><Relationship Id="rId325" Type="http://schemas.openxmlformats.org/officeDocument/2006/relationships/hyperlink" Target="https://ict.usc.edu/academics/internships/application/" TargetMode="External"/><Relationship Id="rId324" Type="http://schemas.openxmlformats.org/officeDocument/2006/relationships/hyperlink" Target="https://www.workatastartup.com/jobs/94620" TargetMode="External"/><Relationship Id="rId329" Type="http://schemas.openxmlformats.org/officeDocument/2006/relationships/hyperlink" Target="https://abb.wd3.myworkdayjobs.com/en-US/external_career_page/job/USA-NC-Cary/AI---Data-Scientist-AI-Intern---Fall-2026_JR00036225" TargetMode="External"/><Relationship Id="rId1390" Type="http://schemas.openxmlformats.org/officeDocument/2006/relationships/hyperlink" Target="https://lifeattiktok.com/search/7667933770819897605" TargetMode="External"/><Relationship Id="rId328" Type="http://schemas.openxmlformats.org/officeDocument/2006/relationships/hyperlink" Target="https://job-boards.greenhouse.io/truveta/jobs/5712997004" TargetMode="External"/><Relationship Id="rId1391" Type="http://schemas.openxmlformats.org/officeDocument/2006/relationships/hyperlink" Target="https://lifeattiktok.com/search/7662700594251958581" TargetMode="External"/><Relationship Id="rId1392" Type="http://schemas.openxmlformats.org/officeDocument/2006/relationships/hyperlink" Target="https://usacs.wd1.myworkdayjobs.com/usacscareers/job/Virtual-OH/People-Analytics-Intern_R0002363" TargetMode="External"/><Relationship Id="rId1393" Type="http://schemas.openxmlformats.org/officeDocument/2006/relationships/hyperlink" Target="https://chevron.wd5.myworkdayjobs.com/University/job/Houston-1400-Smith-Street/XMLNAME-2026-2027-Supply---Trading-TAMU-TRIP-Program-Intern_R000072487" TargetMode="External"/><Relationship Id="rId1394" Type="http://schemas.openxmlformats.org/officeDocument/2006/relationships/hyperlink" Target="https://chevron.wd5.myworkdayjobs.com/University/job/Houston-1400-Smith-Street/XMLNAME-2026-2027-Supply---Trading-TAMU-TRIP-Program-Intern_R000072485" TargetMode="External"/><Relationship Id="rId1395" Type="http://schemas.openxmlformats.org/officeDocument/2006/relationships/hyperlink" Target="https://deckers.wd5.myworkdayjobs.com/Deckers/job/US---California-Remote/Loyalty-Analytics-Intern---Global_20701" TargetMode="External"/><Relationship Id="rId323" Type="http://schemas.openxmlformats.org/officeDocument/2006/relationships/hyperlink" Target="https://lifeattiktok.com/search/7550950550511421703" TargetMode="External"/><Relationship Id="rId1396" Type="http://schemas.openxmlformats.org/officeDocument/2006/relationships/hyperlink" Target="https://ensemblehp.wd5.myworkdayjobs.com/ensemblehealthpartnerscareers/job/Remote---Nationwide/Business-Intelligence-Intern_R044048" TargetMode="External"/><Relationship Id="rId322" Type="http://schemas.openxmlformats.org/officeDocument/2006/relationships/hyperlink" Target="https://ats.rippling.com/rippling/jobs/00cbc991-d2fb-452c-a8b6-2978f109a484" TargetMode="External"/><Relationship Id="rId1397" Type="http://schemas.openxmlformats.org/officeDocument/2006/relationships/hyperlink" Target="https://group1001wd.wd5.myworkdayjobs.com/careers/job/Stamford-Connecticut/Quantitative-Analysis-Intern_R26_0405" TargetMode="External"/><Relationship Id="rId321" Type="http://schemas.openxmlformats.org/officeDocument/2006/relationships/hyperlink" Target="https://kla.wd1.myworkdayjobs.com/en-US/search/job/Milpitas-CA/Algorithm-Engineer-Intern_2637300" TargetMode="External"/><Relationship Id="rId1398" Type="http://schemas.openxmlformats.org/officeDocument/2006/relationships/hyperlink" Target="https://sharecare.wd1.myworkdayjobs.com/Sharecare_Careers/job/BAM---Atlanta-GA/BI-Analytics-Intern---Remote_R-101864" TargetMode="External"/><Relationship Id="rId320" Type="http://schemas.openxmlformats.org/officeDocument/2006/relationships/hyperlink" Target="https://simplify.jobs/p/9c4619b9-f695-4144-b0f7-42620ccfbc1e/Research--Development-AIML-Intern" TargetMode="External"/><Relationship Id="rId1399" Type="http://schemas.openxmlformats.org/officeDocument/2006/relationships/hyperlink" Target="https://sharecare.wd1.myworkdayjobs.com/Sharecare_Careers/job/BAM---Atlanta-GA/Data-Analyst-Intern---Remote_R-101873" TargetMode="External"/><Relationship Id="rId1389" Type="http://schemas.openxmlformats.org/officeDocument/2006/relationships/hyperlink" Target="https://lifeattiktok.com/search/7667935738376227077" TargetMode="External"/><Relationship Id="rId316" Type="http://schemas.openxmlformats.org/officeDocument/2006/relationships/hyperlink" Target="https://jobs.smartrecruiters.com/BoschGroup/744000140462550-autonomous-driving-internship-in-machine-learning?oga=true" TargetMode="External"/><Relationship Id="rId315" Type="http://schemas.openxmlformats.org/officeDocument/2006/relationships/hyperlink" Target="https://jobs.smartrecruiters.com/BoschGroup/744000140317669-adas-software-engineering-intern?oga=true" TargetMode="External"/><Relationship Id="rId799" Type="http://schemas.openxmlformats.org/officeDocument/2006/relationships/hyperlink" Target="https://capitalone.wd12.myworkdayjobs.com/en-US/capital_one/job/McLean-VA/Current-PhD---Data-Science-Internship---Summer-2027_R244287-1" TargetMode="External"/><Relationship Id="rId314" Type="http://schemas.openxmlformats.org/officeDocument/2006/relationships/hyperlink" Target="https://egug.fa.us2.oraclecloud.com/hcmUI/CandidateExperience/en/sites/CX_1/job/26011992" TargetMode="External"/><Relationship Id="rId798" Type="http://schemas.openxmlformats.org/officeDocument/2006/relationships/hyperlink" Target="https://capitalone.wd12.myworkdayjobs.com/en-US/capital_one/job/McLean-VA/Current-Master-s---Data-Science-Internship---Summer-2027_R244285-1" TargetMode="External"/><Relationship Id="rId313" Type="http://schemas.openxmlformats.org/officeDocument/2006/relationships/hyperlink" Target="https://egug.fa.us2.oraclecloud.com/hcmUI/CandidateExperience/en/sites/CX_1/job/26012152" TargetMode="External"/><Relationship Id="rId797" Type="http://schemas.openxmlformats.org/officeDocument/2006/relationships/hyperlink" Target="https://boystown.wd1.myworkdayjobs.com/boystowncareers/job/Omaha-NE/Artificial-Intelligence---Machine-Learning-Intern_REQ-2026-8543-1" TargetMode="External"/><Relationship Id="rId319" Type="http://schemas.openxmlformats.org/officeDocument/2006/relationships/hyperlink" Target="https://applyguy.ai/jobs?company=GE+HealthCare&amp;job=e7a4cb8a-6d75-47e7-81b0-dc7a3d439fb9" TargetMode="External"/><Relationship Id="rId318" Type="http://schemas.openxmlformats.org/officeDocument/2006/relationships/hyperlink" Target="https://riss.ri.cmu.edu/" TargetMode="External"/><Relationship Id="rId317" Type="http://schemas.openxmlformats.org/officeDocument/2006/relationships/hyperlink" Target="https://jobs.smartrecruiters.com/BoschGroup/744000131739749-research-scientist-multi-modal-sensing-ai" TargetMode="External"/><Relationship Id="rId1380" Type="http://schemas.openxmlformats.org/officeDocument/2006/relationships/hyperlink" Target="http://prizepicks.com/position?gh_jid=7761731003" TargetMode="External"/><Relationship Id="rId792" Type="http://schemas.openxmlformats.org/officeDocument/2006/relationships/hyperlink" Target="https://arlo.wd12.myworkdayjobs.com/en-US/external_careers/job/Milpitas-CA/SW-Engineer-Intern--iOS--AI-Assisted-Development-_JR100299" TargetMode="External"/><Relationship Id="rId1381" Type="http://schemas.openxmlformats.org/officeDocument/2006/relationships/hyperlink" Target="https://jobright.ai/jobs/info/6a33229cf6b55d12c7917ef0" TargetMode="External"/><Relationship Id="rId791" Type="http://schemas.openxmlformats.org/officeDocument/2006/relationships/hyperlink" Target="https://jobs.lever.co/acds/b59f2570-51bf-48ff-9ec2-f5548e068e34/apply" TargetMode="External"/><Relationship Id="rId1382" Type="http://schemas.openxmlformats.org/officeDocument/2006/relationships/hyperlink" Target="https://jobs.lever.co/sunwatercapital/7681fd31-8d0b-405c-b0e0-7f8c1c87f3c8/apply" TargetMode="External"/><Relationship Id="rId790" Type="http://schemas.openxmlformats.org/officeDocument/2006/relationships/hyperlink" Target="https://applyguy.ai/jobs?company=Apprenticely&amp;job=79b73f7b-3f9b-426c-a0c5-380ab72a23c2" TargetMode="External"/><Relationship Id="rId1383" Type="http://schemas.openxmlformats.org/officeDocument/2006/relationships/hyperlink" Target="https://td.wd3.myworkdayjobs.com/en-US/td_bank_careers/job/Mount-Laurel-New-Jersey/XMLNAME-2026-Fall-Co-op---Global-Technology-Solutions---Data-Engineer_R_1495653" TargetMode="External"/><Relationship Id="rId1384" Type="http://schemas.openxmlformats.org/officeDocument/2006/relationships/hyperlink" Target="https://jobs.lever.co/calstart/39565f0d-d10f-458b-b72d-d807420059b8" TargetMode="External"/><Relationship Id="rId312" Type="http://schemas.openxmlformats.org/officeDocument/2006/relationships/hyperlink" Target="https://egug.fa.us2.oraclecloud.com/hcmUI/CandidateExperience/en/sites/CX_1/job/26011916" TargetMode="External"/><Relationship Id="rId796" Type="http://schemas.openxmlformats.org/officeDocument/2006/relationships/hyperlink" Target="https://jobs.smartrecruiters.com/BoschGroup/744000141552037" TargetMode="External"/><Relationship Id="rId1385" Type="http://schemas.openxmlformats.org/officeDocument/2006/relationships/hyperlink" Target="https://apply.workable.com/connectprep/j/C0CA13664F" TargetMode="External"/><Relationship Id="rId311" Type="http://schemas.openxmlformats.org/officeDocument/2006/relationships/hyperlink" Target="https://egug.fa.us2.oraclecloud.com/hcmUI/CandidateExperience/en/sites/CX_1/job/26012174" TargetMode="External"/><Relationship Id="rId795" Type="http://schemas.openxmlformats.org/officeDocument/2006/relationships/hyperlink" Target="https://jobs.ashbyhq.com/bild-ai/b333f0f7-0ca6-4509-8697-9303396b5364" TargetMode="External"/><Relationship Id="rId1386" Type="http://schemas.openxmlformats.org/officeDocument/2006/relationships/hyperlink" Target="https://job-boards.greenhouse.io/goldenpetbrands/jobs/4713182005" TargetMode="External"/><Relationship Id="rId310" Type="http://schemas.openxmlformats.org/officeDocument/2006/relationships/hyperlink" Target="https://egug.fa.us2.oraclecloud.com/hcmUI/CandidateExperience/en/sites/CX_1/job/26011918" TargetMode="External"/><Relationship Id="rId794" Type="http://schemas.openxmlformats.org/officeDocument/2006/relationships/hyperlink" Target="https://jobs.ashbyhq.com/bestow/df5ebc0c-435d-430b-b0e3-23f36cb0389d" TargetMode="External"/><Relationship Id="rId1387" Type="http://schemas.openxmlformats.org/officeDocument/2006/relationships/hyperlink" Target="https://job-boards.greenhouse.io/honehealth/jobs/5308958008" TargetMode="External"/><Relationship Id="rId793" Type="http://schemas.openxmlformats.org/officeDocument/2006/relationships/hyperlink" Target="https://asmglobal.wd1.myworkdayjobs.com/en-US/careers/job/West-Conshohocken-PA/Automation---AI-Technology-Experience-Intern_R100122152" TargetMode="External"/><Relationship Id="rId1388" Type="http://schemas.openxmlformats.org/officeDocument/2006/relationships/hyperlink" Target="https://lifeattiktok.com/search/7667933335084124469" TargetMode="External"/><Relationship Id="rId297" Type="http://schemas.openxmlformats.org/officeDocument/2006/relationships/hyperlink" Target="https://akunacapital.com/careers/job/8036614/" TargetMode="External"/><Relationship Id="rId296" Type="http://schemas.openxmlformats.org/officeDocument/2006/relationships/hyperlink" Target="https://job-boards.greenhouse.io/togetherai/jobs/5157559007" TargetMode="External"/><Relationship Id="rId295" Type="http://schemas.openxmlformats.org/officeDocument/2006/relationships/hyperlink" Target="https://job-boards.greenhouse.io/togetherai/jobs/5168929007" TargetMode="External"/><Relationship Id="rId294" Type="http://schemas.openxmlformats.org/officeDocument/2006/relationships/hyperlink" Target="https://lifeattiktok.com/search/7657778928769534213" TargetMode="External"/><Relationship Id="rId299" Type="http://schemas.openxmlformats.org/officeDocument/2006/relationships/hyperlink" Target="https://job-boards.eu.greenhouse.io/imc/jobs/4907400101" TargetMode="External"/><Relationship Id="rId298" Type="http://schemas.openxmlformats.org/officeDocument/2006/relationships/hyperlink" Target="https://job-boards.greenhouse.io/drweng/jobs/7818540" TargetMode="External"/><Relationship Id="rId271" Type="http://schemas.openxmlformats.org/officeDocument/2006/relationships/hyperlink" Target="https://lifeattiktok.com/search/7669712589169117445" TargetMode="External"/><Relationship Id="rId270" Type="http://schemas.openxmlformats.org/officeDocument/2006/relationships/hyperlink" Target="https://jobs.bytedance.com/en/position/7668373268886161669" TargetMode="External"/><Relationship Id="rId269" Type="http://schemas.openxmlformats.org/officeDocument/2006/relationships/hyperlink" Target="https://lifeattiktok.com/search/7668837276597127477" TargetMode="External"/><Relationship Id="rId264" Type="http://schemas.openxmlformats.org/officeDocument/2006/relationships/hyperlink" Target="https://lifeattiktok.com/search/7669711026846058757" TargetMode="External"/><Relationship Id="rId263" Type="http://schemas.openxmlformats.org/officeDocument/2006/relationships/hyperlink" Target="https://lifeattiktok.com/search/7667934635573692725" TargetMode="External"/><Relationship Id="rId262" Type="http://schemas.openxmlformats.org/officeDocument/2006/relationships/hyperlink" Target="https://lifeattiktok.com/search/7667935633764370741" TargetMode="External"/><Relationship Id="rId261" Type="http://schemas.openxmlformats.org/officeDocument/2006/relationships/hyperlink" Target="https://lifeattiktok.com/search/7667935150530840837" TargetMode="External"/><Relationship Id="rId268" Type="http://schemas.openxmlformats.org/officeDocument/2006/relationships/hyperlink" Target="https://lifeattiktok.com/search/7668837275459324213" TargetMode="External"/><Relationship Id="rId267" Type="http://schemas.openxmlformats.org/officeDocument/2006/relationships/hyperlink" Target="https://lifeattiktok.com/search/7667934759481526581" TargetMode="External"/><Relationship Id="rId266" Type="http://schemas.openxmlformats.org/officeDocument/2006/relationships/hyperlink" Target="https://lifeattiktok.com/search/7668584161852229893" TargetMode="External"/><Relationship Id="rId265" Type="http://schemas.openxmlformats.org/officeDocument/2006/relationships/hyperlink" Target="https://lifeattiktok.com/search/7667935739300792629" TargetMode="External"/><Relationship Id="rId260" Type="http://schemas.openxmlformats.org/officeDocument/2006/relationships/hyperlink" Target="https://lifeattiktok.com/search/7667934860750063925" TargetMode="External"/><Relationship Id="rId259" Type="http://schemas.openxmlformats.org/officeDocument/2006/relationships/hyperlink" Target="https://lifeattiktok.com/search/7668834837268416821" TargetMode="External"/><Relationship Id="rId258" Type="http://schemas.openxmlformats.org/officeDocument/2006/relationships/hyperlink" Target="https://lifeattiktok.com/search/7668834837268138293" TargetMode="External"/><Relationship Id="rId253" Type="http://schemas.openxmlformats.org/officeDocument/2006/relationships/hyperlink" Target="https://jobs.lever.co/palantir/f17e98d0-046a-4e6e-9d65-ed0b12dd0ff7" TargetMode="External"/><Relationship Id="rId252" Type="http://schemas.openxmlformats.org/officeDocument/2006/relationships/hyperlink" Target="https://jobs.lever.co/palantir/d5486403-c050-4920-b2e0-91b69b61ebb2/apply" TargetMode="External"/><Relationship Id="rId251" Type="http://schemas.openxmlformats.org/officeDocument/2006/relationships/hyperlink" Target="https://apply.careers.microsoft.com/careers/job/1970393556951950" TargetMode="External"/><Relationship Id="rId250" Type="http://schemas.openxmlformats.org/officeDocument/2006/relationships/hyperlink" Target="https://www.google.com/about/careers/applications/jobs/results/85564713261245126-software-engineering-intern/" TargetMode="External"/><Relationship Id="rId257" Type="http://schemas.openxmlformats.org/officeDocument/2006/relationships/hyperlink" Target="https://lifeattiktok.com/search/7667934302872537397" TargetMode="External"/><Relationship Id="rId256" Type="http://schemas.openxmlformats.org/officeDocument/2006/relationships/hyperlink" Target="https://lifeattiktok.com/search/7670289874020993285" TargetMode="External"/><Relationship Id="rId255" Type="http://schemas.openxmlformats.org/officeDocument/2006/relationships/hyperlink" Target="https://lifeattiktok.com/search/7667935565120112949" TargetMode="External"/><Relationship Id="rId254" Type="http://schemas.openxmlformats.org/officeDocument/2006/relationships/hyperlink" Target="https://simplify.jobs/p/1f65e1dc-4f67-432b-822e-9d4bf09cfc3d/Backend-Developer-Intern-Infrastructure-Platform-Delivery" TargetMode="External"/><Relationship Id="rId293" Type="http://schemas.openxmlformats.org/officeDocument/2006/relationships/hyperlink" Target="https://lifeattiktok.com/search/7657728959042046213" TargetMode="External"/><Relationship Id="rId292" Type="http://schemas.openxmlformats.org/officeDocument/2006/relationships/hyperlink" Target="https://lifeattiktok.com/search/7657541997725288757" TargetMode="External"/><Relationship Id="rId291" Type="http://schemas.openxmlformats.org/officeDocument/2006/relationships/hyperlink" Target="https://www.tesla.com/careers/search/job/274754" TargetMode="External"/><Relationship Id="rId290" Type="http://schemas.openxmlformats.org/officeDocument/2006/relationships/hyperlink" Target="https://simplify.jobs/p/fbb72559-8ab8-44a7-b199-5fa04ec5a879" TargetMode="External"/><Relationship Id="rId286" Type="http://schemas.openxmlformats.org/officeDocument/2006/relationships/hyperlink" Target="https://careers-cotiviti.icims.com/jobs/18929/job?mobile=true&amp;needsRedirect=false" TargetMode="External"/><Relationship Id="rId285" Type="http://schemas.openxmlformats.org/officeDocument/2006/relationships/hyperlink" Target="https://lifeattiktok.com/search/7668675500744837381" TargetMode="External"/><Relationship Id="rId284" Type="http://schemas.openxmlformats.org/officeDocument/2006/relationships/hyperlink" Target="https://lifeattiktok.com/search/7668582086899763461" TargetMode="External"/><Relationship Id="rId283" Type="http://schemas.openxmlformats.org/officeDocument/2006/relationships/hyperlink" Target="https://lifeattiktok.com/search/7668582031916435717" TargetMode="External"/><Relationship Id="rId289" Type="http://schemas.openxmlformats.org/officeDocument/2006/relationships/hyperlink" Target="https://tencent.wd1.myworkdayjobs.com/en-US/tencent_careers/job/US-California-Palo-Alto/Hunyuan-Multimodal-Reinforcement-Learning-Research-Intern_R107084-1" TargetMode="External"/><Relationship Id="rId288" Type="http://schemas.openxmlformats.org/officeDocument/2006/relationships/hyperlink" Target="https://tencent.wd1.myworkdayjobs.com/en-US/tencent_careers/job/US-California-Palo-Alto/Hunyuan-Multimodal-Algorithm-Researcher-Intern-Omni-Modal---_R107051" TargetMode="External"/><Relationship Id="rId287" Type="http://schemas.openxmlformats.org/officeDocument/2006/relationships/hyperlink" Target="https://magna.wd3.myworkdayjobs.com/en-US/magna/job/Goleta-California-US/Intern---Infrared-Imaging---Algorithms_R00247602" TargetMode="External"/><Relationship Id="rId282" Type="http://schemas.openxmlformats.org/officeDocument/2006/relationships/hyperlink" Target="https://lifeattiktok.com/search/7662684280234232117" TargetMode="External"/><Relationship Id="rId281" Type="http://schemas.openxmlformats.org/officeDocument/2006/relationships/hyperlink" Target="https://lifeattiktok.com/search/7669943120351906053" TargetMode="External"/><Relationship Id="rId280" Type="http://schemas.openxmlformats.org/officeDocument/2006/relationships/hyperlink" Target="https://lifeattiktok.com/search/7667935399050692917" TargetMode="External"/><Relationship Id="rId275" Type="http://schemas.openxmlformats.org/officeDocument/2006/relationships/hyperlink" Target="https://lifeattiktok.com/search/7668582146236631349" TargetMode="External"/><Relationship Id="rId274" Type="http://schemas.openxmlformats.org/officeDocument/2006/relationships/hyperlink" Target="https://lifeattiktok.com/search/7668642761473902901" TargetMode="External"/><Relationship Id="rId273" Type="http://schemas.openxmlformats.org/officeDocument/2006/relationships/hyperlink" Target="https://lifeattiktok.com/search/7668584916620527925" TargetMode="External"/><Relationship Id="rId272" Type="http://schemas.openxmlformats.org/officeDocument/2006/relationships/hyperlink" Target="https://lifeattiktok.com/search/7669705785962727733" TargetMode="External"/><Relationship Id="rId279" Type="http://schemas.openxmlformats.org/officeDocument/2006/relationships/hyperlink" Target="https://lifeattiktok.com/search/7670295535077427509" TargetMode="External"/><Relationship Id="rId278" Type="http://schemas.openxmlformats.org/officeDocument/2006/relationships/hyperlink" Target="https://lifeattiktok.com/search/7669711844487399685" TargetMode="External"/><Relationship Id="rId277" Type="http://schemas.openxmlformats.org/officeDocument/2006/relationships/hyperlink" Target="https://lifeattiktok.com/search/7670281449668905269" TargetMode="External"/><Relationship Id="rId276" Type="http://schemas.openxmlformats.org/officeDocument/2006/relationships/hyperlink" Target="https://jobs.bytedance.com/en/position/7668374190764050741" TargetMode="External"/><Relationship Id="rId1455" Type="http://schemas.openxmlformats.org/officeDocument/2006/relationships/hyperlink" Target="https://ats.rippling.com/en-GB/moon/jobs/8b81bca7-1a64-4377-8ea8-869aac03080b" TargetMode="External"/><Relationship Id="rId1456" Type="http://schemas.openxmlformats.org/officeDocument/2006/relationships/hyperlink" Target="https://applyguy.ai/jobs?company=Nebo&amp;job=1652a529-ac47-473b-b12b-5366ffb97539" TargetMode="External"/><Relationship Id="rId1457" Type="http://schemas.openxmlformats.org/officeDocument/2006/relationships/hyperlink" Target="https://neighborlybrands.wd1.myworkdayjobs.com/neighborly/job/Irving-TX/Application-Developer-Intern_JR0003834" TargetMode="External"/><Relationship Id="rId1458" Type="http://schemas.openxmlformats.org/officeDocument/2006/relationships/hyperlink" Target="https://jobs.ashbyhq.com/netic/ffd6af1a-cebb-41f5-ac1d-e695adfd067c?embed=true" TargetMode="External"/><Relationship Id="rId1459" Type="http://schemas.openxmlformats.org/officeDocument/2006/relationships/hyperlink" Target="https://www.builtinsf.com/job/full-stack-software-engineer-product-intern-2026-2027/10212033" TargetMode="External"/><Relationship Id="rId629" Type="http://schemas.openxmlformats.org/officeDocument/2006/relationships/hyperlink" Target="https://jpmc.fa.oraclecloud.com/hcmUI/CandidateExperience/en/sites/CX_1/job/210773759" TargetMode="External"/><Relationship Id="rId624" Type="http://schemas.openxmlformats.org/officeDocument/2006/relationships/hyperlink" Target="https://www.capitalonecareers.com/job/-/-/234/97421687312" TargetMode="External"/><Relationship Id="rId623" Type="http://schemas.openxmlformats.org/officeDocument/2006/relationships/hyperlink" Target="https://akunacapital.com/careers/job/8018886/?gh_jid=8018886" TargetMode="External"/><Relationship Id="rId622" Type="http://schemas.openxmlformats.org/officeDocument/2006/relationships/hyperlink" Target="https://akunacapital.com/careers/job/8018847/" TargetMode="External"/><Relationship Id="rId621" Type="http://schemas.openxmlformats.org/officeDocument/2006/relationships/hyperlink" Target="https://www.akunacapital.com/careers/job/8018847/?gh_jid=8018847" TargetMode="External"/><Relationship Id="rId628" Type="http://schemas.openxmlformats.org/officeDocument/2006/relationships/hyperlink" Target="https://job-boards.eu.greenhouse.io/imc/jobs/4823924101" TargetMode="External"/><Relationship Id="rId627" Type="http://schemas.openxmlformats.org/officeDocument/2006/relationships/hyperlink" Target="https://careers.epic.com/jobs/intern/" TargetMode="External"/><Relationship Id="rId626" Type="http://schemas.openxmlformats.org/officeDocument/2006/relationships/hyperlink" Target="https://cat.wd5.myworkdayjobs.com/CaterpillarCareers/job/Mossville-Illinois/XMLNAME-2027-Engineering-Corporate-Intern-Program-----Product-Development-Track_R0000380479" TargetMode="External"/><Relationship Id="rId625" Type="http://schemas.openxmlformats.org/officeDocument/2006/relationships/hyperlink" Target="https://capitalone.wd12.myworkdayjobs.com/Capital_One/job/McLean-VA/Technology-Internship-Program---Summer-2027_R244387-1" TargetMode="External"/><Relationship Id="rId1450" Type="http://schemas.openxmlformats.org/officeDocument/2006/relationships/hyperlink" Target="https://applyguy.ai/jobs?company=Massey+Services&amp;job=4e4a76bf-d611-40e0-8776-7de03e723649" TargetMode="External"/><Relationship Id="rId620" Type="http://schemas.openxmlformats.org/officeDocument/2006/relationships/hyperlink" Target="https://akunacapital.com/careers/job/8018853/" TargetMode="External"/><Relationship Id="rId1451" Type="http://schemas.openxmlformats.org/officeDocument/2006/relationships/hyperlink" Target="https://workforcenow.adp.com/mascsr/default/mdf/recruitment/recruitment.html?cid=cf1a92f4-16eb-4267-86ca-bc956024f426&amp;jobId=565843" TargetMode="External"/><Relationship Id="rId1452" Type="http://schemas.openxmlformats.org/officeDocument/2006/relationships/hyperlink" Target="https://job-boards.greenhouse.io/emergingtalent/jobs/8051938" TargetMode="External"/><Relationship Id="rId1453" Type="http://schemas.openxmlformats.org/officeDocument/2006/relationships/hyperlink" Target="https://applyguy.ai/jobs?company=Microchip&amp;job=6fce1d21-819b-4531-ba7a-bc737e69c6e0" TargetMode="External"/><Relationship Id="rId1454" Type="http://schemas.openxmlformats.org/officeDocument/2006/relationships/hyperlink" Target="https://microchiphr.wd5.myworkdayjobs.com/External/job/MI---Detroit-Sales-Office/Intern-Engineering--MEMS-Design-_R3208-26" TargetMode="External"/><Relationship Id="rId1444" Type="http://schemas.openxmlformats.org/officeDocument/2006/relationships/hyperlink" Target="https://jobs.ashbyhq.com/lunon/6700bbef-8be9-46c7-8257-f1a3a0c0aa45" TargetMode="External"/><Relationship Id="rId1445" Type="http://schemas.openxmlformats.org/officeDocument/2006/relationships/hyperlink" Target="https://applyguy.ai/jobs?company=Manhattan+Associates&amp;job=bebdf235-3b1a-4a96-b907-36d88569d09d" TargetMode="External"/><Relationship Id="rId1446" Type="http://schemas.openxmlformats.org/officeDocument/2006/relationships/hyperlink" Target="https://manh.wd5.myworkdayjobs.com/en-US/campus/job/US---Home-Office/AI-Developer-Co-Op--Boston--MA-_16931" TargetMode="External"/><Relationship Id="rId1447" Type="http://schemas.openxmlformats.org/officeDocument/2006/relationships/hyperlink" Target="https://jobs.ashbyhq.com/marianaminerals/1f8dc663-ae78-44ad-8232-ebf5dcf2385a" TargetMode="External"/><Relationship Id="rId1448" Type="http://schemas.openxmlformats.org/officeDocument/2006/relationships/hyperlink" Target="https://marmon.wd501.myworkdayjobs.com/Marmon_MSIP_Internships/job/Milwaukee-WI/Digital-Production-Engineering-Intern-OR-Student-Co-Op_JR0000037451" TargetMode="External"/><Relationship Id="rId1449" Type="http://schemas.openxmlformats.org/officeDocument/2006/relationships/hyperlink" Target="https://marmon.wd501.myworkdayjobs.com/Marmon_MSIP_Internships/job/Chicago-IL/Engineering-Intern-Co-op_JR0000026780-4" TargetMode="External"/><Relationship Id="rId619" Type="http://schemas.openxmlformats.org/officeDocument/2006/relationships/hyperlink" Target="https://jobs.smartrecruiters.com/AbbVie/3743990014410464" TargetMode="External"/><Relationship Id="rId618" Type="http://schemas.openxmlformats.org/officeDocument/2006/relationships/hyperlink" Target="https://jobs.ashbyhq.com/yotta/09821a51-fbe6-42a7-a566-0d2b5d40fae3" TargetMode="External"/><Relationship Id="rId613" Type="http://schemas.openxmlformats.org/officeDocument/2006/relationships/hyperlink" Target="https://unisys.wd5.myworkdayjobs.com/External/job/Blue-Bell-PA-United-States-of-America/Digital-Marketing----AI-Intern---Remote_REQ573283" TargetMode="External"/><Relationship Id="rId612" Type="http://schemas.openxmlformats.org/officeDocument/2006/relationships/hyperlink" Target="https://trellix.wd1.myworkdayjobs.com/en-US/EnterpriseCareers/job/Remote-United-States/Business-Operations---AI-Data-Analyst-Intern_JR0037670" TargetMode="External"/><Relationship Id="rId611" Type="http://schemas.openxmlformats.org/officeDocument/2006/relationships/hyperlink" Target="https://simplify.jobs/p/f975268a-bc73-4167-8e73-024443cbc1f2" TargetMode="External"/><Relationship Id="rId610" Type="http://schemas.openxmlformats.org/officeDocument/2006/relationships/hyperlink" Target="https://flir.wd1.myworkdayjobs.com/flircareers/job/US---Lincoln-NE/Computer-Engineering-Intern_REQ29119" TargetMode="External"/><Relationship Id="rId617" Type="http://schemas.openxmlformats.org/officeDocument/2006/relationships/hyperlink" Target="https://job-boards.greenhouse.io/xpengmotors/jobs/8581353002" TargetMode="External"/><Relationship Id="rId616" Type="http://schemas.openxmlformats.org/officeDocument/2006/relationships/hyperlink" Target="https://job-boards.greenhouse.io/xairatherapeutics/jobs/5170708007" TargetMode="External"/><Relationship Id="rId615" Type="http://schemas.openxmlformats.org/officeDocument/2006/relationships/hyperlink" Target="https://job-boards.greenhouse.io/verkada/jobs/5099422007" TargetMode="External"/><Relationship Id="rId614" Type="http://schemas.openxmlformats.org/officeDocument/2006/relationships/hyperlink" Target="https://unity.com/careers/positions/7947295?gh_jid=7947295" TargetMode="External"/><Relationship Id="rId1440" Type="http://schemas.openxmlformats.org/officeDocument/2006/relationships/hyperlink" Target="https://jobs.lever.co/layup/0d8b26c2-f4f9-4dc1-b987-1e496fd616aa" TargetMode="External"/><Relationship Id="rId1441" Type="http://schemas.openxmlformats.org/officeDocument/2006/relationships/hyperlink" Target="https://leidos.wd5.myworkdayjobs.com/External/job/Indianapolis-IN/Application-Developer-Intern_R-00188193-1" TargetMode="External"/><Relationship Id="rId1442" Type="http://schemas.openxmlformats.org/officeDocument/2006/relationships/hyperlink" Target="https://leidos.wd5.myworkdayjobs.com/en-US/external/job/Annapolis-Junction-MD/Software-Developer-Intern_R-00188311" TargetMode="External"/><Relationship Id="rId1443" Type="http://schemas.openxmlformats.org/officeDocument/2006/relationships/hyperlink" Target="https://applyguy.ai/jobs?company=LiveRamp&amp;job=06b512d8-6239-425a-8b8c-ebdaabf77801" TargetMode="External"/><Relationship Id="rId1477" Type="http://schemas.openxmlformats.org/officeDocument/2006/relationships/hyperlink" Target="https://jobs.ashbyhq.com/phonely/c83696cb-ca3a-4a9d-9e87-bfcf4f79fef5?embed=true" TargetMode="External"/><Relationship Id="rId1478" Type="http://schemas.openxmlformats.org/officeDocument/2006/relationships/hyperlink" Target="https://www.builtinsf.com/job/software-engineer-intern/10123262" TargetMode="External"/><Relationship Id="rId1479" Type="http://schemas.openxmlformats.org/officeDocument/2006/relationships/hyperlink" Target="https://www.builtinsf.com/job/software-engineer-intern/9354805" TargetMode="External"/><Relationship Id="rId646" Type="http://schemas.openxmlformats.org/officeDocument/2006/relationships/hyperlink" Target="https://applyguy.ai/jobs?company=Virtu+Financial&amp;job=6ad42080-e3f8-411d-9076-079c46c0f4e7" TargetMode="External"/><Relationship Id="rId645" Type="http://schemas.openxmlformats.org/officeDocument/2006/relationships/hyperlink" Target="https://job-boards.greenhouse.io/verkada/jobs/5099529007" TargetMode="External"/><Relationship Id="rId644" Type="http://schemas.openxmlformats.org/officeDocument/2006/relationships/hyperlink" Target="https://jobs.uber.com/en/jobs/300697/" TargetMode="External"/><Relationship Id="rId643" Type="http://schemas.openxmlformats.org/officeDocument/2006/relationships/hyperlink" Target="https://twosigma.avature.net/careers/JobDetail/13945" TargetMode="External"/><Relationship Id="rId649" Type="http://schemas.openxmlformats.org/officeDocument/2006/relationships/hyperlink" Target="https://www.builtinsf.com/job/summer-2027-software-engineering-internship/10272040" TargetMode="External"/><Relationship Id="rId648" Type="http://schemas.openxmlformats.org/officeDocument/2006/relationships/hyperlink" Target="https://jobs.smartrecruiters.com/WesternDigital/744000138727213-summer-2027-software-engineering-internship" TargetMode="External"/><Relationship Id="rId647" Type="http://schemas.openxmlformats.org/officeDocument/2006/relationships/hyperlink" Target="https://jobs.smartrecruiters.com/WesternDigital/744000138727213" TargetMode="External"/><Relationship Id="rId1470" Type="http://schemas.openxmlformats.org/officeDocument/2006/relationships/hyperlink" Target="https://jobs.lever.co/palantir/373eb939-6f57-4836-8479-be79a5e07249" TargetMode="External"/><Relationship Id="rId1471" Type="http://schemas.openxmlformats.org/officeDocument/2006/relationships/hyperlink" Target="https://jobs.lever.co/palantir/a483f41b-0da9-42ea-8ed6-cbf6eb93cc6d" TargetMode="External"/><Relationship Id="rId1472" Type="http://schemas.openxmlformats.org/officeDocument/2006/relationships/hyperlink" Target="https://jobs.lever.co/palantir/f221738b-e97c-4ce3-a12a-17ada2b855e4" TargetMode="External"/><Relationship Id="rId642" Type="http://schemas.openxmlformats.org/officeDocument/2006/relationships/hyperlink" Target="https://salesforce.wd12.myworkdayjobs.com/External_Career_Site/job/California---San-Francisco/Summer-2027-Intern---Software-Engineer_JR340771-1" TargetMode="External"/><Relationship Id="rId1473" Type="http://schemas.openxmlformats.org/officeDocument/2006/relationships/hyperlink" Target="https://parsons.wd5.myworkdayjobs.com/search/job/US---CA-Pasadena/Civil-Engineering-Intern_R184307" TargetMode="External"/><Relationship Id="rId641" Type="http://schemas.openxmlformats.org/officeDocument/2006/relationships/hyperlink" Target="https://www.builtinboston.com/job/summer-2027-intern-software-engineer/9287543" TargetMode="External"/><Relationship Id="rId1474" Type="http://schemas.openxmlformats.org/officeDocument/2006/relationships/hyperlink" Target="https://recruiting.paylocity.com/Recruiting/Jobs/Details/4368457" TargetMode="External"/><Relationship Id="rId640" Type="http://schemas.openxmlformats.org/officeDocument/2006/relationships/hyperlink" Target="https://simplify.jobs/p/f89dbf35-2e68-4087-a28a-1092da1e72d4/Software-Engineer-Intern" TargetMode="External"/><Relationship Id="rId1475" Type="http://schemas.openxmlformats.org/officeDocument/2006/relationships/hyperlink" Target="https://pentair.wd5.myworkdayjobs.com/pentair_careers/job/Golden-Valley-MN/IT---Cybersecurity-Leadership-Development-Internship-Program----Summer-2027_R23700" TargetMode="External"/><Relationship Id="rId1476" Type="http://schemas.openxmlformats.org/officeDocument/2006/relationships/hyperlink" Target="https://careers-persistentsystems.icims.com/jobs/2272/intern---embedded-software-engineer-%28fall-2026%29/job" TargetMode="External"/><Relationship Id="rId1466" Type="http://schemas.openxmlformats.org/officeDocument/2006/relationships/hyperlink" Target="https://fa-evmr-saasfaprod1.fa.ocs.oraclecloud.com/hcmUI/CandidateExperience/en/sites/CX_1/job/36934" TargetMode="External"/><Relationship Id="rId1467" Type="http://schemas.openxmlformats.org/officeDocument/2006/relationships/hyperlink" Target="https://fa-evmr-saasfaprod1.fa.ocs.oraclecloud.com/hcmUI/CandidateExperience/en/sites/CX_1/job/36277" TargetMode="External"/><Relationship Id="rId1468" Type="http://schemas.openxmlformats.org/officeDocument/2006/relationships/hyperlink" Target="https://jobs.lever.co/palantir/9e40d77f-b07c-437b-98e7-def9b0184d89" TargetMode="External"/><Relationship Id="rId1469" Type="http://schemas.openxmlformats.org/officeDocument/2006/relationships/hyperlink" Target="https://jobs.lever.co/palantir/d5486403-c050-4920-b2e0-91b69b61ebb2" TargetMode="External"/><Relationship Id="rId635" Type="http://schemas.openxmlformats.org/officeDocument/2006/relationships/hyperlink" Target="https://medtronic.wd1.myworkdayjobs.com/en-US/medtroniccareers/job/Fridley-Minnesota-United-States-of-America/Software-Engineering-Intern---Summer-2027_R73630-1" TargetMode="External"/><Relationship Id="rId634" Type="http://schemas.openxmlformats.org/officeDocument/2006/relationships/hyperlink" Target="https://medtronic.wd1.myworkdayjobs.com/redeploymentmedtroniccareers/job/Fridley-Minnesota-United-States-of-America/Software-Engineering-Intern---Summer-2027_R73630" TargetMode="External"/><Relationship Id="rId633" Type="http://schemas.openxmlformats.org/officeDocument/2006/relationships/hyperlink" Target="https://medtronic.wd1.myworkdayjobs.com/MedtronicCareers/job/Fridley-Minnesota-United-States-of-America/Engineering-Intern---Summer-2027_R73623-1" TargetMode="External"/><Relationship Id="rId632" Type="http://schemas.openxmlformats.org/officeDocument/2006/relationships/hyperlink" Target="https://www.jumptrading.com/hr/job?gh_jid=8002989" TargetMode="External"/><Relationship Id="rId639" Type="http://schemas.openxmlformats.org/officeDocument/2006/relationships/hyperlink" Target="https://www.optiver.com/join-us/jobs/8604760002/?gh_jid=8604760002" TargetMode="External"/><Relationship Id="rId638" Type="http://schemas.openxmlformats.org/officeDocument/2006/relationships/hyperlink" Target="https://www.optiver.com/join-us/jobs/8401052002/?gh_jid=8401052002" TargetMode="External"/><Relationship Id="rId637" Type="http://schemas.openxmlformats.org/officeDocument/2006/relationships/hyperlink" Target="https://optiver.com/working-at-optiver/career-opportunities/8286208002" TargetMode="External"/><Relationship Id="rId636" Type="http://schemas.openxmlformats.org/officeDocument/2006/relationships/hyperlink" Target="https://medtronic.wd1.myworkdayjobs.com/MedtronicCareers/job/Fridley-Minnesota-United-States-of-America/Software-Engineering-Intern---Summer-2027_R73630-1" TargetMode="External"/><Relationship Id="rId1460" Type="http://schemas.openxmlformats.org/officeDocument/2006/relationships/hyperlink" Target="https://applyguy.ai/jobs?company=Netic&amp;job=f07d961c-37fd-41e1-84bb-c717e0d964dc" TargetMode="External"/><Relationship Id="rId1461" Type="http://schemas.openxmlformats.org/officeDocument/2006/relationships/hyperlink" Target="https://jobs.ashbyhq.com/netic/f291394a-f3c5-4f46-9b87-77aea3d487ef" TargetMode="External"/><Relationship Id="rId631" Type="http://schemas.openxmlformats.org/officeDocument/2006/relationships/hyperlink" Target="https://www.jumptrading.com/hr/job?gh_jid=8007788" TargetMode="External"/><Relationship Id="rId1462" Type="http://schemas.openxmlformats.org/officeDocument/2006/relationships/hyperlink" Target="https://nidec.wd1.myworkdayjobs.com/nidec/job/North-AmericaUSATennesseeLexington-TN/Electrical-Engineer-Intern_R0015984" TargetMode="External"/><Relationship Id="rId630" Type="http://schemas.openxmlformats.org/officeDocument/2006/relationships/hyperlink" Target="https://jpmc.fa.oraclecloud.com/hcmUI/CandidateExperience/en/sites/CX_1001/job/210773759" TargetMode="External"/><Relationship Id="rId1463" Type="http://schemas.openxmlformats.org/officeDocument/2006/relationships/hyperlink" Target="https://nidec.wd1.myworkdayjobs.com/nidec/job/North-AmericaUSAMinnesotaMankato-MN/manufacturing-engineering-intern_R0016035" TargetMode="External"/><Relationship Id="rId1464" Type="http://schemas.openxmlformats.org/officeDocument/2006/relationships/hyperlink" Target="https://nidec.wd1.myworkdayjobs.com/nidec/job/North-AmericaUSAMinnesotaMankato-MN/Quality-Engineering-Intern_R0016331" TargetMode="External"/><Relationship Id="rId1465" Type="http://schemas.openxmlformats.org/officeDocument/2006/relationships/hyperlink" Target="https://fa-evmr-saasfaprod1.fa.ocs.oraclecloud.com/hcmUI/CandidateExperience/en/sites/CX_1/job/36548" TargetMode="External"/><Relationship Id="rId1411" Type="http://schemas.openxmlformats.org/officeDocument/2006/relationships/hyperlink" Target="https://applyguy.ai/jobs?company=BorgWarner&amp;job=c9fc187e-49c3-45f7-9935-852818937c2b" TargetMode="External"/><Relationship Id="rId1412" Type="http://schemas.openxmlformats.org/officeDocument/2006/relationships/hyperlink" Target="https://brunswick.wd1.myworkdayjobs.com/search/job/Champaign-IL/Software-Engineer-Intern_JR-050991" TargetMode="External"/><Relationship Id="rId1413" Type="http://schemas.openxmlformats.org/officeDocument/2006/relationships/hyperlink" Target="https://cae.wd3.myworkdayjobs.com/career/job/Arlington-TX/Mechanical-Engineering-Intern_122210" TargetMode="External"/><Relationship Id="rId1414" Type="http://schemas.openxmlformats.org/officeDocument/2006/relationships/hyperlink" Target="https://job-boards.greenhouse.io/chicagotradingcampus/jobs/4716930005" TargetMode="External"/><Relationship Id="rId1415" Type="http://schemas.openxmlformats.org/officeDocument/2006/relationships/hyperlink" Target="https://job-boards.greenhouse.io/clarityinnovates/jobs/5155449007" TargetMode="External"/><Relationship Id="rId1416" Type="http://schemas.openxmlformats.org/officeDocument/2006/relationships/hyperlink" Target="https://applyguy.ai/jobs?company=Clarity+Partners+LLC&amp;job=1e145d9e-9d8f-4617-aea2-3f70ac31c567" TargetMode="External"/><Relationship Id="rId1417" Type="http://schemas.openxmlformats.org/officeDocument/2006/relationships/hyperlink" Target="https://simplify.jobs/p/f2e6ec0f-c6ff-45bf-ba8b-fc395f6131bb" TargetMode="External"/><Relationship Id="rId1418" Type="http://schemas.openxmlformats.org/officeDocument/2006/relationships/hyperlink" Target="https://applyguy.ai/jobs?company=Copart&amp;job=b27e4678-830e-4c2e-bd11-9206c1439ffa" TargetMode="External"/><Relationship Id="rId1419" Type="http://schemas.openxmlformats.org/officeDocument/2006/relationships/hyperlink" Target="https://cranecompany.wd5.myworkdayjobs.com/Careers/job/Spartanburg-South-Carolina/Quality-Engineering-Co-op_JR101988" TargetMode="External"/><Relationship Id="rId1410" Type="http://schemas.openxmlformats.org/officeDocument/2006/relationships/hyperlink" Target="https://boeing.wd1.myworkdayjobs.com/EXTERNAL_CAREERS/job/USA---Everett-WA/Boeing-Summer-2027-Internship-Program--Paid----Information-Digital-Technology---Security--IDT-S-_JR2026520791-1" TargetMode="External"/><Relationship Id="rId1400" Type="http://schemas.openxmlformats.org/officeDocument/2006/relationships/hyperlink" Target="https://sharecare.wd1.myworkdayjobs.com/Sharecare_Careers/job/BAM---Atlanta-GA/Data-Quality-Intern---Remote_R-101874" TargetMode="External"/><Relationship Id="rId1401" Type="http://schemas.openxmlformats.org/officeDocument/2006/relationships/hyperlink" Target="https://strideinc.wd1.myworkdayjobs.com/en-US/SK/job/US-Nationwide---Remote/Data-Engineering-Intern_JR114182" TargetMode="External"/><Relationship Id="rId1402" Type="http://schemas.openxmlformats.org/officeDocument/2006/relationships/hyperlink" Target="https://ebwg.fa.us2.oraclecloud.com/hcmUI/CandidateExperience/en/sites/CX/job/19500" TargetMode="External"/><Relationship Id="rId1403" Type="http://schemas.openxmlformats.org/officeDocument/2006/relationships/hyperlink" Target="https://avav.wd1.myworkdayjobs.com/en-US/avav/job/Albuquerque-NM/Software-Test-Engineer-Intern_8033" TargetMode="External"/><Relationship Id="rId1404" Type="http://schemas.openxmlformats.org/officeDocument/2006/relationships/hyperlink" Target="https://careers.aqr.com/jobs?gh_jid=8077110&amp;gh_jid=8077110" TargetMode="External"/><Relationship Id="rId1405" Type="http://schemas.openxmlformats.org/officeDocument/2006/relationships/hyperlink" Target="https://jobs.ashbyhq.com/fab2/947338ca-e135-4398-9aa3-79e131bc03d5?embed=true" TargetMode="External"/><Relationship Id="rId1406" Type="http://schemas.openxmlformats.org/officeDocument/2006/relationships/hyperlink" Target="https://applyguy.ai/jobs?company=Aveva&amp;job=d0e0a079-630a-4acf-834c-8d58541442d1" TargetMode="External"/><Relationship Id="rId1407" Type="http://schemas.openxmlformats.org/officeDocument/2006/relationships/hyperlink" Target="https://applyguy.ai/jobs?company=Axon&amp;job=d944d568-6569-42b9-8f64-66d335c87a0f" TargetMode="External"/><Relationship Id="rId1408" Type="http://schemas.openxmlformats.org/officeDocument/2006/relationships/hyperlink" Target="https://www.bairdcareers.com/jobs/r20251244/internship-equity-research-analyst-summer-2027/" TargetMode="External"/><Relationship Id="rId1409" Type="http://schemas.openxmlformats.org/officeDocument/2006/relationships/hyperlink" Target="https://bdx.wd1.myworkdayjobs.com/EXTERNAL_CAREER_SITE_USA/job/USA-CT---Canaan/Engineering-Intern_R-549057-1" TargetMode="External"/><Relationship Id="rId1433" Type="http://schemas.openxmlformats.org/officeDocument/2006/relationships/hyperlink" Target="https://jobs.ashbyhq.com/human-computer-lab/004ff3a2-7e38-4959-8bd7-48489cbc78f4" TargetMode="External"/><Relationship Id="rId1434" Type="http://schemas.openxmlformats.org/officeDocument/2006/relationships/hyperlink" Target="https://jobs.ashbyhq.com/human-computer-lab/63a06836-54f4-4475-9e03-007ce5afc04c" TargetMode="External"/><Relationship Id="rId1435" Type="http://schemas.openxmlformats.org/officeDocument/2006/relationships/hyperlink" Target="https://intel.wd1.myworkdayjobs.com/External/job/US-New-Mexico-Albuquerque/New-Mexico-Manufacturing-Technician-Internship_JR0284246" TargetMode="External"/><Relationship Id="rId1436" Type="http://schemas.openxmlformats.org/officeDocument/2006/relationships/hyperlink" Target="https://careers-jobyaviation.icims.com/jobs/5168/software-engineer-intern----air-taxi/job" TargetMode="External"/><Relationship Id="rId1437" Type="http://schemas.openxmlformats.org/officeDocument/2006/relationships/hyperlink" Target="https://www.jumptrading.com/hr/job?gh_jid=8003013" TargetMode="External"/><Relationship Id="rId1438" Type="http://schemas.openxmlformats.org/officeDocument/2006/relationships/hyperlink" Target="https://jobs.keysight.com/jobs/53649?lang=en-us" TargetMode="External"/><Relationship Id="rId1439" Type="http://schemas.openxmlformats.org/officeDocument/2006/relationships/hyperlink" Target="https://jobright.ai/jobs/info/6a333f87f6b55d12c791859e" TargetMode="External"/><Relationship Id="rId609" Type="http://schemas.openxmlformats.org/officeDocument/2006/relationships/hyperlink" Target="https://jobs.smartrecruiters.com/BoschGroup/744000139649345" TargetMode="External"/><Relationship Id="rId608" Type="http://schemas.openxmlformats.org/officeDocument/2006/relationships/hyperlink" Target="https://apply.workable.com/pony-dot-ai/j/4C1F53EF5D/" TargetMode="External"/><Relationship Id="rId607" Type="http://schemas.openxmlformats.org/officeDocument/2006/relationships/hyperlink" Target="https://jobs.lever.co/plus-2/7565aed4-41b0-44e9-8608-3ccd07e18262" TargetMode="External"/><Relationship Id="rId602" Type="http://schemas.openxmlformats.org/officeDocument/2006/relationships/hyperlink" Target="https://jobs.lever.co/plus-2/5d71c173-fef1-409f-b3f0-750e3b828266" TargetMode="External"/><Relationship Id="rId601" Type="http://schemas.openxmlformats.org/officeDocument/2006/relationships/hyperlink" Target="https://jobs.ashbyhq.com/phil/4626509e-297e-4a03-b5b1-7d72cbbc5b82/application" TargetMode="External"/><Relationship Id="rId600" Type="http://schemas.openxmlformats.org/officeDocument/2006/relationships/hyperlink" Target="https://applyguy.ai/jobs?company=Persona+AI+Inc&amp;job=51333dbd-0e64-46dc-b6ad-f2fd2544bb85" TargetMode="External"/><Relationship Id="rId606" Type="http://schemas.openxmlformats.org/officeDocument/2006/relationships/hyperlink" Target="https://jobs.lever.co/plus-2/1432ed29-d5e2-4348-acc4-9c42bf0897e2" TargetMode="External"/><Relationship Id="rId605" Type="http://schemas.openxmlformats.org/officeDocument/2006/relationships/hyperlink" Target="https://jobs.lever.co/plus-2/2f2c1cd9-f099-483a-9717-0da83a391333" TargetMode="External"/><Relationship Id="rId604" Type="http://schemas.openxmlformats.org/officeDocument/2006/relationships/hyperlink" Target="https://jobs.lever.co/plus-2/b4f750e7-0148-41f0-b2b1-ff054450a320" TargetMode="External"/><Relationship Id="rId603" Type="http://schemas.openxmlformats.org/officeDocument/2006/relationships/hyperlink" Target="https://jobs.lever.co/plus-2/91a07eb1-2244-48bf-a65b-dc166a327ddc" TargetMode="External"/><Relationship Id="rId1430" Type="http://schemas.openxmlformats.org/officeDocument/2006/relationships/hyperlink" Target="https://applyguy.ai/jobs?company=HEALTHPEAK+PROPERTIES%2C+INC.&amp;job=4980d11b-ff71-4eeb-9cb3-de8fccad12db" TargetMode="External"/><Relationship Id="rId1431" Type="http://schemas.openxmlformats.org/officeDocument/2006/relationships/hyperlink" Target="https://jobs.ashbyhq.com/heron-power/93dd15fe-6c82-412b-a662-c14c75360f36" TargetMode="External"/><Relationship Id="rId1432" Type="http://schemas.openxmlformats.org/officeDocument/2006/relationships/hyperlink" Target="https://applyguy.ai/jobs?company=HP&amp;job=b4ac60b4-dd12-495c-9d76-f86274c8b1b6" TargetMode="External"/><Relationship Id="rId1422" Type="http://schemas.openxmlformats.org/officeDocument/2006/relationships/hyperlink" Target="https://draper.wd5.myworkdayjobs.com/draper_careers/job/Cambridge-MA/Electronics---Embedded-Systems-Intern--Summer-2027-_JR002735" TargetMode="External"/><Relationship Id="rId1423" Type="http://schemas.openxmlformats.org/officeDocument/2006/relationships/hyperlink" Target="https://draper.wd5.myworkdayjobs.com/Draper_Careers/job/Cambridge-MA/Mechanical-Engineering---System-Packaging-Intern_JR002767" TargetMode="External"/><Relationship Id="rId1424" Type="http://schemas.openxmlformats.org/officeDocument/2006/relationships/hyperlink" Target="https://www.drw.com/work-at-drw/listings/fpga-intern-3484423" TargetMode="External"/><Relationship Id="rId1425" Type="http://schemas.openxmlformats.org/officeDocument/2006/relationships/hyperlink" Target="https://recruiting.paylocity.com/Recruiting/Jobs/Details/4333463" TargetMode="External"/><Relationship Id="rId1426" Type="http://schemas.openxmlformats.org/officeDocument/2006/relationships/hyperlink" Target="https://www.builtinsf.com/job/software-engineer-intern/8747764" TargetMode="External"/><Relationship Id="rId1427" Type="http://schemas.openxmlformats.org/officeDocument/2006/relationships/hyperlink" Target="https://geaerospace.wd5.myworkdayjobs.com/en-US/ge_externalsite/job/Bohemia/Embedded-Systems-Engineer-Co-op--Bohemia--NY----Spring-2027_R5035583-1" TargetMode="External"/><Relationship Id="rId1428" Type="http://schemas.openxmlformats.org/officeDocument/2006/relationships/hyperlink" Target="https://generac.wd5.myworkdayjobs.com/External/job/North-Billerica-MA---USA/Mechanical-Design-Engineering-Intern_JR14679" TargetMode="External"/><Relationship Id="rId1429" Type="http://schemas.openxmlformats.org/officeDocument/2006/relationships/hyperlink" Target="https://harman.wd3.myworkdayjobs.com/HARMAN/job/Sunnyvale---California-USA/Intern---Software-Engineering_R-53546-2026" TargetMode="External"/><Relationship Id="rId1420" Type="http://schemas.openxmlformats.org/officeDocument/2006/relationships/hyperlink" Target="https://cranecompany.wd5.myworkdayjobs.com/Careers/job/Cincinnati-Ohio/Sustaining-Engineering-Intern_JR102022" TargetMode="External"/><Relationship Id="rId1421" Type="http://schemas.openxmlformats.org/officeDocument/2006/relationships/hyperlink" Target="https://careers.dovercorporation.com/job/Keene-Software-Engineer-Intern-NH-03431/1404722033/?ats=successfactors" TargetMode="External"/><Relationship Id="rId1059" Type="http://schemas.openxmlformats.org/officeDocument/2006/relationships/hyperlink" Target="https://fox.wd1.myworkdayjobs.com/Domestic/job/New-York-New-York-USA/Fall-2026-FOX-News-Media-Internship-Program---Data-Analytics---New-York_R50032616-1" TargetMode="External"/><Relationship Id="rId228" Type="http://schemas.openxmlformats.org/officeDocument/2006/relationships/hyperlink" Target="https://www.jumptrading.com/hr/job?gh_jid=8052351" TargetMode="External"/><Relationship Id="rId227" Type="http://schemas.openxmlformats.org/officeDocument/2006/relationships/hyperlink" Target="https://www.jumptrading.com/hr/job?gh_jid=8052338" TargetMode="External"/><Relationship Id="rId226" Type="http://schemas.openxmlformats.org/officeDocument/2006/relationships/hyperlink" Target="https://www.jumptrading.com/hr/job?gh_jid=8052281" TargetMode="External"/><Relationship Id="rId225" Type="http://schemas.openxmlformats.org/officeDocument/2006/relationships/hyperlink" Target="https://jpmc.fa.oraclecloud.com/hcmUI/CandidateExperience/en/sites/CX_1/job/210775223" TargetMode="External"/><Relationship Id="rId229" Type="http://schemas.openxmlformats.org/officeDocument/2006/relationships/hyperlink" Target="https://www.metacareers.com/jobs/1760132191666571" TargetMode="External"/><Relationship Id="rId1050" Type="http://schemas.openxmlformats.org/officeDocument/2006/relationships/hyperlink" Target="https://moog.wd5.myworkdayjobs.com/moog_external_career_site/job/Buffalo-NY/Intern--Software-Engineering_R-26-18885-1" TargetMode="External"/><Relationship Id="rId220" Type="http://schemas.openxmlformats.org/officeDocument/2006/relationships/hyperlink" Target="https://jobs.apple.com/en-us/details/200664323/software-phd-internships" TargetMode="External"/><Relationship Id="rId1051" Type="http://schemas.openxmlformats.org/officeDocument/2006/relationships/hyperlink" Target="https://naveruhubinc.applytojob.com/apply/snw35vU7eX/ThingsBook-Product-Management-Intern" TargetMode="External"/><Relationship Id="rId1052" Type="http://schemas.openxmlformats.org/officeDocument/2006/relationships/hyperlink" Target="https://jobs.ashbyhq.com/quadrillion-labs/a4acc44c-31ce-41a0-ab44-2500487b4d05" TargetMode="External"/><Relationship Id="rId1053" Type="http://schemas.openxmlformats.org/officeDocument/2006/relationships/hyperlink" Target="https://resmed.wd3.myworkdayjobs.com/en-US/ResMed_External_Careers/job/Atlanta-GA-United-States/Technical-Product-Manager-Intern_JR_048629" TargetMode="External"/><Relationship Id="rId1054" Type="http://schemas.openxmlformats.org/officeDocument/2006/relationships/hyperlink" Target="https://job-boards.greenhouse.io/sharkninjaoperatingllc/jobs/4646448006" TargetMode="External"/><Relationship Id="rId224" Type="http://schemas.openxmlformats.org/officeDocument/2006/relationships/hyperlink" Target="https://jpmc.fa.oraclecloud.com/hcmUI/CandidateExperience/en/sites/CX_1/job/210773869" TargetMode="External"/><Relationship Id="rId1055" Type="http://schemas.openxmlformats.org/officeDocument/2006/relationships/hyperlink" Target="https://lighting.wd3.myworkdayjobs.com/jobs-and-careers/job/Menlo-Park/Product-Management-Intern---Fall-2026_365521" TargetMode="External"/><Relationship Id="rId223" Type="http://schemas.openxmlformats.org/officeDocument/2006/relationships/hyperlink" Target="https://jpmc.fa.oraclecloud.com/hcmUI/CandidateExperience/en/sites/CX_1001/job/210775223" TargetMode="External"/><Relationship Id="rId1056" Type="http://schemas.openxmlformats.org/officeDocument/2006/relationships/hyperlink" Target="https://ats.rippling.com/studyfetch/jobs/45f16361-69b0-4e74-8cc3-d2574336c76f" TargetMode="External"/><Relationship Id="rId222" Type="http://schemas.openxmlformats.org/officeDocument/2006/relationships/hyperlink" Target="https://jpmc.fa.oraclecloud.com/hcmUI/CandidateExperience/en/sites/CX_1001/job/210773869" TargetMode="External"/><Relationship Id="rId1057" Type="http://schemas.openxmlformats.org/officeDocument/2006/relationships/hyperlink" Target="https://careers-sig.icims.com/jobs/11099/analytics-internship%3A-fall-2026/job" TargetMode="External"/><Relationship Id="rId221" Type="http://schemas.openxmlformats.org/officeDocument/2006/relationships/hyperlink" Target="https://job-boards.eu.greenhouse.io/imc/jobs/4907430101" TargetMode="External"/><Relationship Id="rId1058" Type="http://schemas.openxmlformats.org/officeDocument/2006/relationships/hyperlink" Target="https://tt.wd503.myworkdayjobs.com/thorntontomasetti/job/New-York-NY-USA/Mechanical-Engineer-Co-op_R6868" TargetMode="External"/><Relationship Id="rId1048" Type="http://schemas.openxmlformats.org/officeDocument/2006/relationships/hyperlink" Target="https://jobs.ashbyhq.com/k-id/35d45263-db3b-4553-b017-b4b1bbd0570d/application" TargetMode="External"/><Relationship Id="rId1049" Type="http://schemas.openxmlformats.org/officeDocument/2006/relationships/hyperlink" Target="https://moog.wd5.myworkdayjobs.com/moog_external_career_site/job/Buffalo-NY/Intern--Engineering_R-26-16991" TargetMode="External"/><Relationship Id="rId217" Type="http://schemas.openxmlformats.org/officeDocument/2006/relationships/hyperlink" Target="https://careers.twosigma.com/careers/JobDetail/New-York-New-York-United-States-Quantitative-Researcher-Internship-2027-Summer/13945" TargetMode="External"/><Relationship Id="rId216" Type="http://schemas.openxmlformats.org/officeDocument/2006/relationships/hyperlink" Target="https://job-boards.greenhouse.io/togetherai/jobs/5157759007" TargetMode="External"/><Relationship Id="rId215" Type="http://schemas.openxmlformats.org/officeDocument/2006/relationships/hyperlink" Target="https://job-boards.greenhouse.io/togetherai/jobs/5157380007" TargetMode="External"/><Relationship Id="rId699" Type="http://schemas.openxmlformats.org/officeDocument/2006/relationships/hyperlink" Target="https://jobs.lever.co/calstart/faf839b1-8c62-4fcf-991c-71750d8fc909" TargetMode="External"/><Relationship Id="rId214" Type="http://schemas.openxmlformats.org/officeDocument/2006/relationships/hyperlink" Target="https://jobs.lever.co/plus-2/c143df6e-66c2-4498-b19b-8323f9954ca9" TargetMode="External"/><Relationship Id="rId698" Type="http://schemas.openxmlformats.org/officeDocument/2006/relationships/hyperlink" Target="https://eoje.fa.us2.oraclecloud.com/hcmUI/CandidateExperience/en/sites/CX_1001/job/6315" TargetMode="External"/><Relationship Id="rId219" Type="http://schemas.openxmlformats.org/officeDocument/2006/relationships/hyperlink" Target="https://jobs.apple.com/en-us/details/200664414/hardware-technologies-phd-internships" TargetMode="External"/><Relationship Id="rId218" Type="http://schemas.openxmlformats.org/officeDocument/2006/relationships/hyperlink" Target="https://jobs.apple.com/en-us/details/200664421/hardware-phd-internships" TargetMode="External"/><Relationship Id="rId693" Type="http://schemas.openxmlformats.org/officeDocument/2006/relationships/hyperlink" Target="https://jobs.lever.co/xsolla/1c0e5375-2352-4a2c-a816-48ddebbdd3d6" TargetMode="External"/><Relationship Id="rId1040" Type="http://schemas.openxmlformats.org/officeDocument/2006/relationships/hyperlink" Target="https://jobs.smartrecruiters.com/WesternDigital/744000138184309" TargetMode="External"/><Relationship Id="rId692" Type="http://schemas.openxmlformats.org/officeDocument/2006/relationships/hyperlink" Target="https://jobs.lever.co/xsolla/5d5fd6b3-d82f-437a-b251-abf4674ac874" TargetMode="External"/><Relationship Id="rId1041" Type="http://schemas.openxmlformats.org/officeDocument/2006/relationships/hyperlink" Target="https://jobs.smartrecruiters.com/WesternDigital/744000140949875-summer-2027-intern-hardware-engineering?oga=true" TargetMode="External"/><Relationship Id="rId691" Type="http://schemas.openxmlformats.org/officeDocument/2006/relationships/hyperlink" Target="https://jobs.ashbyhq.com/veeda-labs/58cc42fb-1d6f-4e5f-860d-3b97bdccc6f4/application" TargetMode="External"/><Relationship Id="rId1042" Type="http://schemas.openxmlformats.org/officeDocument/2006/relationships/hyperlink" Target="https://zendesk.wd1.myworkdayjobs.com/zendesk/job/Austin-Texas-United-States-of-America/Software-Engineer-Intern_R34607" TargetMode="External"/><Relationship Id="rId690" Type="http://schemas.openxmlformats.org/officeDocument/2006/relationships/hyperlink" Target="https://edbz.fa.us2.oraclecloud.com/hcmUI/CandidateExperience/en/sites/CX/job/25016766" TargetMode="External"/><Relationship Id="rId1043" Type="http://schemas.openxmlformats.org/officeDocument/2006/relationships/hyperlink" Target="https://jobs.smartrecruiters.com/BoschGroup/744000140457960" TargetMode="External"/><Relationship Id="rId213" Type="http://schemas.openxmlformats.org/officeDocument/2006/relationships/hyperlink" Target="https://jobs.ashbyhq.com/mistral.ai/60fcc44d-4d96-469d-a96c-d6a9bbfe8edd/application" TargetMode="External"/><Relationship Id="rId697" Type="http://schemas.openxmlformats.org/officeDocument/2006/relationships/hyperlink" Target="https://assurant.wd1.myworkdayjobs.com/en-US/Assurant_Careers/job/Atlanta-GA/Digital---AI-Transformation-Intern_R-114103-1" TargetMode="External"/><Relationship Id="rId1044" Type="http://schemas.openxmlformats.org/officeDocument/2006/relationships/hyperlink" Target="https://jobs.ashbyhq.com/centerfield/92a124aa-9efd-4dbd-90f1-6319be7706b2/application?embed=true" TargetMode="External"/><Relationship Id="rId212" Type="http://schemas.openxmlformats.org/officeDocument/2006/relationships/hyperlink" Target="https://magna.wd3.myworkdayjobs.com/Magna/job/Troy-Michigan-US/R-D--Computer-Vision-Engineering-Intern_R00253444-1" TargetMode="External"/><Relationship Id="rId696" Type="http://schemas.openxmlformats.org/officeDocument/2006/relationships/hyperlink" Target="https://jobs.lever.co/acds/079308f9-11b0-4ca0-93a8-c6fb6ed70a23/apply" TargetMode="External"/><Relationship Id="rId1045" Type="http://schemas.openxmlformats.org/officeDocument/2006/relationships/hyperlink" Target="https://boards.greenhouse.io/cloudflare/jobs/8104138" TargetMode="External"/><Relationship Id="rId211" Type="http://schemas.openxmlformats.org/officeDocument/2006/relationships/hyperlink" Target="https://www.janestreet.com/join-jane-street/position/8621450002/" TargetMode="External"/><Relationship Id="rId695" Type="http://schemas.openxmlformats.org/officeDocument/2006/relationships/hyperlink" Target="https://agilent.wd5.myworkdayjobs.com/Agilent_Student_Careers/job/US-DE-Wilmington/Intern---R-D-Software-Engineering--AI---Test-Automation-_4038437" TargetMode="External"/><Relationship Id="rId1046" Type="http://schemas.openxmlformats.org/officeDocument/2006/relationships/hyperlink" Target="https://disney.wd5.myworkdayjobs.com/disneycareer/job/Lake-Buena-Vista-FL-USA/Commercial-Data-Science-Intern--Fall-2026_10154154" TargetMode="External"/><Relationship Id="rId210" Type="http://schemas.openxmlformats.org/officeDocument/2006/relationships/hyperlink" Target="https://www.janestreet.com/join-jane-street/position/8347385002/" TargetMode="External"/><Relationship Id="rId694" Type="http://schemas.openxmlformats.org/officeDocument/2006/relationships/hyperlink" Target="https://agilent.wd5.myworkdayjobs.com/en-US/agilent_student_careers/job/US-DE-Wilmington/Intern---R-D-Software-Engineering--AI---Test-Automation-_4038437" TargetMode="External"/><Relationship Id="rId1047" Type="http://schemas.openxmlformats.org/officeDocument/2006/relationships/hyperlink" Target="https://jobs.ashbyhq.com/ether.fi/6dcb712c-8fe5-4725-ad6a-0e9771af22cb" TargetMode="External"/><Relationship Id="rId249" Type="http://schemas.openxmlformats.org/officeDocument/2006/relationships/hyperlink" Target="https://www.google.com/about/careers/applications/jobs/results/85564713261245126-software-engineering-intern-bs-summer-2027" TargetMode="External"/><Relationship Id="rId248" Type="http://schemas.openxmlformats.org/officeDocument/2006/relationships/hyperlink" Target="https://www.citadelsecurities.com/careers/details/software-engineer-intern-us/" TargetMode="External"/><Relationship Id="rId247" Type="http://schemas.openxmlformats.org/officeDocument/2006/relationships/hyperlink" Target="https://jobs.apple.com/en-us/details/200664785/software-undergrad-engineering-internships" TargetMode="External"/><Relationship Id="rId1070" Type="http://schemas.openxmlformats.org/officeDocument/2006/relationships/hyperlink" Target="https://www.asm.com/open-vacancies/?gh_jid=4830113101" TargetMode="External"/><Relationship Id="rId1071" Type="http://schemas.openxmlformats.org/officeDocument/2006/relationships/hyperlink" Target="https://job-boards.greenhouse.io/astranis/jobs/4699071006" TargetMode="External"/><Relationship Id="rId1072" Type="http://schemas.openxmlformats.org/officeDocument/2006/relationships/hyperlink" Target="https://jobs.ashbyhq.com/atomicsemi/615feebf-d9e3-4583-9c85-ba16af44e65c" TargetMode="External"/><Relationship Id="rId242" Type="http://schemas.openxmlformats.org/officeDocument/2006/relationships/hyperlink" Target="https://osv-cci.wd1.myworkdayjobs.com/en-US/CCICareers/job/Stamford-CT/Data-Science-Machine-Learning-Internship--Summer-2027-_R1344" TargetMode="External"/><Relationship Id="rId1073" Type="http://schemas.openxmlformats.org/officeDocument/2006/relationships/hyperlink" Target="https://jobs.ashbyhq.com/atomicsemi/947338ca-e135-4398-9aa3-79e131bc03d5" TargetMode="External"/><Relationship Id="rId241" Type="http://schemas.openxmlformats.org/officeDocument/2006/relationships/hyperlink" Target="https://jobs.bytedance.com/en/position/7670317975513794869/detail" TargetMode="External"/><Relationship Id="rId1074" Type="http://schemas.openxmlformats.org/officeDocument/2006/relationships/hyperlink" Target="https://jobs.ashbyhq.com/atomicsemi/867c67f7-20b5-4726-b9da-85a760d3851e" TargetMode="External"/><Relationship Id="rId240" Type="http://schemas.openxmlformats.org/officeDocument/2006/relationships/hyperlink" Target="https://lifeattiktok.com/search/7527582397938223367" TargetMode="External"/><Relationship Id="rId1075" Type="http://schemas.openxmlformats.org/officeDocument/2006/relationships/hyperlink" Target="https://jobs.ashbyhq.com/atomicsemi/009d0819-c688-4ab9-8816-a3c7ab002470" TargetMode="External"/><Relationship Id="rId1076" Type="http://schemas.openxmlformats.org/officeDocument/2006/relationships/hyperlink" Target="https://jobs.ashbyhq.com/beaconsoftware/2452d342-a069-4eda-adbe-9df296808ca1/application?embed=true" TargetMode="External"/><Relationship Id="rId246" Type="http://schemas.openxmlformats.org/officeDocument/2006/relationships/hyperlink" Target="https://jobs.apple.com/en-us/details/200664320/software-engineering-masters-internships" TargetMode="External"/><Relationship Id="rId1077" Type="http://schemas.openxmlformats.org/officeDocument/2006/relationships/hyperlink" Target="https://jobs.ashbyhq.com/composio/4d819015-0b9a-466f-9b41-8e1cc1e5b6d9/application?embed=true" TargetMode="External"/><Relationship Id="rId245" Type="http://schemas.openxmlformats.org/officeDocument/2006/relationships/hyperlink" Target="https://www.janestreet.com/join-jane-street/position/8631973002/" TargetMode="External"/><Relationship Id="rId1078" Type="http://schemas.openxmlformats.org/officeDocument/2006/relationships/hyperlink" Target="https://copart.wd12.myworkdayjobs.com/copart/job/Dallas-TX---Headquarters/Software-Engineering-Intern_JR110353" TargetMode="External"/><Relationship Id="rId244" Type="http://schemas.openxmlformats.org/officeDocument/2006/relationships/hyperlink" Target="https://careers.ice.com/jobs/12830?lang=en-us&amp;iis=LinkedIn&amp;iisn=Linkedin&amp;mode=apply&amp;jr_id=69e67bb27820c036924d0af9" TargetMode="External"/><Relationship Id="rId1079" Type="http://schemas.openxmlformats.org/officeDocument/2006/relationships/hyperlink" Target="https://job-boards.greenhouse.io/densityai/jobs/4336452009" TargetMode="External"/><Relationship Id="rId243" Type="http://schemas.openxmlformats.org/officeDocument/2006/relationships/hyperlink" Target="https://jobs.ashbyhq.com/generalintuition-medal/aaa8928d-7d07-4859-86c1-eb39c4c4cbd3/application?embed=true" TargetMode="External"/><Relationship Id="rId239" Type="http://schemas.openxmlformats.org/officeDocument/2006/relationships/hyperlink" Target="https://lifeattiktok.com/search/7667935738840090933" TargetMode="External"/><Relationship Id="rId238" Type="http://schemas.openxmlformats.org/officeDocument/2006/relationships/hyperlink" Target="https://lifeattiktok.com/search/7662677746436524293" TargetMode="External"/><Relationship Id="rId237" Type="http://schemas.openxmlformats.org/officeDocument/2006/relationships/hyperlink" Target="https://jobs.bytedance.com/en/position/7537164763424606482/detail" TargetMode="External"/><Relationship Id="rId236" Type="http://schemas.openxmlformats.org/officeDocument/2006/relationships/hyperlink" Target="https://joinbytedance.com/search/7654366987607542021" TargetMode="External"/><Relationship Id="rId1060" Type="http://schemas.openxmlformats.org/officeDocument/2006/relationships/hyperlink" Target="https://job-boards.greenhouse.io/lilasciences/jobs/4286512009" TargetMode="External"/><Relationship Id="rId1061" Type="http://schemas.openxmlformats.org/officeDocument/2006/relationships/hyperlink" Target="https://boeing.wd1.myworkdayjobs.com/INTERN/job/USA---Everett-WA/Boeing-Summer-2027-Internship-Program--Paid----Data-Analytics-Intern_JR2026520976" TargetMode="External"/><Relationship Id="rId231" Type="http://schemas.openxmlformats.org/officeDocument/2006/relationships/hyperlink" Target="https://www.metacareers.com/jobs/1418337243438665" TargetMode="External"/><Relationship Id="rId1062" Type="http://schemas.openxmlformats.org/officeDocument/2006/relationships/hyperlink" Target="https://uline.wd1.myworkdayjobs.com/en-US/Uline_Careers/job/Pleasant-Prairie-WI/Business-Intelligence-Developer-Internship---Summer-2027_R265685" TargetMode="External"/><Relationship Id="rId230" Type="http://schemas.openxmlformats.org/officeDocument/2006/relationships/hyperlink" Target="https://www.metacareers.com/jobs/2916726525182155" TargetMode="External"/><Relationship Id="rId1063" Type="http://schemas.openxmlformats.org/officeDocument/2006/relationships/hyperlink" Target="https://uline.wd1.myworkdayjobs.com/en-US/Uline_Careers/job/Pleasant-Prairie-WI/Database-Administrator-Internship---Summer-2027_R265687" TargetMode="External"/><Relationship Id="rId1064" Type="http://schemas.openxmlformats.org/officeDocument/2006/relationships/hyperlink" Target="https://uline.wd1.myworkdayjobs.com/en-US/Uline_Careers/job/Pleasant-Prairie-WI/Financial-Data-Analyst-Internship---Summer-2027_R265665" TargetMode="External"/><Relationship Id="rId1065" Type="http://schemas.openxmlformats.org/officeDocument/2006/relationships/hyperlink" Target="https://uline.wd1.myworkdayjobs.com/Uline_Careers/job/Pleasant-Prairie-WI/Financial-Data-Analyst-Internship---Summer-2027_R265665" TargetMode="External"/><Relationship Id="rId235" Type="http://schemas.openxmlformats.org/officeDocument/2006/relationships/hyperlink" Target="https://lifeattiktok.com/search/7532660880120400135" TargetMode="External"/><Relationship Id="rId1066" Type="http://schemas.openxmlformats.org/officeDocument/2006/relationships/hyperlink" Target="https://apply.workable.com/altom-transport/j/9FC654F05E/apply" TargetMode="External"/><Relationship Id="rId234" Type="http://schemas.openxmlformats.org/officeDocument/2006/relationships/hyperlink" Target="https://careers-sig.icims.com/jobs/10785/machine-learning-internship---phd%3A-2027/job" TargetMode="External"/><Relationship Id="rId1067" Type="http://schemas.openxmlformats.org/officeDocument/2006/relationships/hyperlink" Target="https://www.asm.com/open-vacancies/?gh_jid=4830098101" TargetMode="External"/><Relationship Id="rId233" Type="http://schemas.openxmlformats.org/officeDocument/2006/relationships/hyperlink" Target="https://simplify.jobs/p/c3a88fbe-109d-4f95-b388-630393a1833c" TargetMode="External"/><Relationship Id="rId1068" Type="http://schemas.openxmlformats.org/officeDocument/2006/relationships/hyperlink" Target="https://www.asm.com/open-vacancies/?gh_jid=4830929101" TargetMode="External"/><Relationship Id="rId232" Type="http://schemas.openxmlformats.org/officeDocument/2006/relationships/hyperlink" Target="https://www.metacareers.com/jobs/1710381673750348" TargetMode="External"/><Relationship Id="rId1069" Type="http://schemas.openxmlformats.org/officeDocument/2006/relationships/hyperlink" Target="https://www.asm.com/open-vacancies/software-engineering-intern-spring-2027-4830113101?gh_jid=4830113101" TargetMode="External"/><Relationship Id="rId1015" Type="http://schemas.openxmlformats.org/officeDocument/2006/relationships/hyperlink" Target="https://applyguy.ai/jobs?company=RTX&amp;job=e3dc5add-f764-4da0-9cbc-6bb0a9b37b02" TargetMode="External"/><Relationship Id="rId1499" Type="http://schemas.openxmlformats.org/officeDocument/2006/relationships/hyperlink" Target="https://job-boards.greenhouse.io/transmarketgroup/jobs/5151581007?gh_jid=5151581007" TargetMode="External"/><Relationship Id="rId1016" Type="http://schemas.openxmlformats.org/officeDocument/2006/relationships/hyperlink" Target="https://applyguy.ai/jobs?company=RTX&amp;job=3cd9ca2a-be6a-4b77-bc0b-6da77a81c5d1" TargetMode="External"/><Relationship Id="rId1017" Type="http://schemas.openxmlformats.org/officeDocument/2006/relationships/hyperlink" Target="https://applyguy.ai/jobs?company=RTX&amp;job=916a07db-1c7e-47e4-bcf9-de695fc88ca0" TargetMode="External"/><Relationship Id="rId1018" Type="http://schemas.openxmlformats.org/officeDocument/2006/relationships/hyperlink" Target="https://globalhr.wd5.myworkdayjobs.com/fr-CA/Private_Posting_No_TMP/job/US-CA-FULLERTON-675--1801-Hughes-Dr--BLDG-675/Software-Engineering-Intern--Summer-2027-_01863012" TargetMode="External"/><Relationship Id="rId1019" Type="http://schemas.openxmlformats.org/officeDocument/2006/relationships/hyperlink" Target="https://applyguy.ai/jobs?company=RTX&amp;job=e43a5439-8de1-434e-93ba-d4be1025f449" TargetMode="External"/><Relationship Id="rId668" Type="http://schemas.openxmlformats.org/officeDocument/2006/relationships/hyperlink" Target="https://imerys.wd3.myworkdayjobs.com/en-US/imerys-careers/job/Johns-Creek-Georgia-USA/S-T-Data-Solidation---AI-Analysis---Intern_REQ-11301" TargetMode="External"/><Relationship Id="rId667" Type="http://schemas.openxmlformats.org/officeDocument/2006/relationships/hyperlink" Target="https://gsk-us-earlytalent.icims.com/jobs/10503/fall-co-op-ai-portfolio/job" TargetMode="External"/><Relationship Id="rId666" Type="http://schemas.openxmlformats.org/officeDocument/2006/relationships/hyperlink" Target="https://jobs.ashbyhq.com/genmd/807adafc-7842-4e05-90f3-9bc45dd39a13/application" TargetMode="External"/><Relationship Id="rId665" Type="http://schemas.openxmlformats.org/officeDocument/2006/relationships/hyperlink" Target="https://gevernova.wd5.myworkdayjobs.com/only_confidential_executive_recruiting/job/Atlanta/GE-Vernova-Digital-Technology-Internship---Summer-2027_R5049176-2" TargetMode="External"/><Relationship Id="rId669" Type="http://schemas.openxmlformats.org/officeDocument/2006/relationships/hyperlink" Target="https://uscareers-lennox.icims.com/jobs/54120/ai-engineering-fall-co-op/job" TargetMode="External"/><Relationship Id="rId1490" Type="http://schemas.openxmlformats.org/officeDocument/2006/relationships/hyperlink" Target="https://ats.rippling.com/en-GB/spreeai/jobs/c52472cb-2671-45d7-b666-17196dc3df25" TargetMode="External"/><Relationship Id="rId660" Type="http://schemas.openxmlformats.org/officeDocument/2006/relationships/hyperlink" Target="https://jobs.ashbyhq.com/ellipsislabs/02136b22-35b1-4b3d-8bef-567c3380a849" TargetMode="External"/><Relationship Id="rId1491" Type="http://schemas.openxmlformats.org/officeDocument/2006/relationships/hyperlink" Target="https://applyguy.ai/jobs?company=SRI+International&amp;job=24e00f51-bffe-4165-8066-be29525a4159" TargetMode="External"/><Relationship Id="rId1492" Type="http://schemas.openxmlformats.org/officeDocument/2006/relationships/hyperlink" Target="https://hdhl.fa.us6.oraclecloud.com/hcmUI/CandidateExperience/en/sites/CX_1/job/1006411" TargetMode="External"/><Relationship Id="rId1493" Type="http://schemas.openxmlformats.org/officeDocument/2006/relationships/hyperlink" Target="https://applyguy.ai/jobs?company=Starfish&amp;job=76d7b2a1-78c2-4e6f-9e58-76d27b4ac971" TargetMode="External"/><Relationship Id="rId1010" Type="http://schemas.openxmlformats.org/officeDocument/2006/relationships/hyperlink" Target="https://eeho.fa.us2.oraclecloud.com/hcmUI/CandidateExperience/en/sites/CX_45001/job/334325" TargetMode="External"/><Relationship Id="rId1494" Type="http://schemas.openxmlformats.org/officeDocument/2006/relationships/hyperlink" Target="https://careers.sig.com/intern-co-op-technology/jobs/10838?lang=en-us" TargetMode="External"/><Relationship Id="rId664" Type="http://schemas.openxmlformats.org/officeDocument/2006/relationships/hyperlink" Target="https://applyguy.ai/jobs?company=Formlabs&amp;job=cfed89c4-2caf-45f2-b66a-ec284b1407bc" TargetMode="External"/><Relationship Id="rId1011" Type="http://schemas.openxmlformats.org/officeDocument/2006/relationships/hyperlink" Target="https://job-boards.greenhouse.io/radixuniversity/jobs/8500265002" TargetMode="External"/><Relationship Id="rId1495" Type="http://schemas.openxmlformats.org/officeDocument/2006/relationships/hyperlink" Target="https://applyguy.ai/jobs?company=Tempo&amp;job=9ecdc530-929c-4500-9391-bd41471b2ce0" TargetMode="External"/><Relationship Id="rId663" Type="http://schemas.openxmlformats.org/officeDocument/2006/relationships/hyperlink" Target="https://job-boards.greenhouse.io/fiveringsllc/jobs/5349707008" TargetMode="External"/><Relationship Id="rId1012" Type="http://schemas.openxmlformats.org/officeDocument/2006/relationships/hyperlink" Target="https://jobright.ai/jobs/info/6a2aab7ed3ec8317fe1448c6" TargetMode="External"/><Relationship Id="rId1496" Type="http://schemas.openxmlformats.org/officeDocument/2006/relationships/hyperlink" Target="https://tencent.wd1.myworkdayjobs.com/en-US/tencent_careers/job/US-Washington-Bellevue/Cloud-Media-Services-Intern_R107794" TargetMode="External"/><Relationship Id="rId662" Type="http://schemas.openxmlformats.org/officeDocument/2006/relationships/hyperlink" Target="https://jobs.ashbyhq.com/Etched/f02e8035-7dc9-4b0c-aab7-75bbb4e975b8" TargetMode="External"/><Relationship Id="rId1013" Type="http://schemas.openxmlformats.org/officeDocument/2006/relationships/hyperlink" Target="https://jobright.ai/jobs/info/6a2d15adfc0644749054bc60" TargetMode="External"/><Relationship Id="rId1497" Type="http://schemas.openxmlformats.org/officeDocument/2006/relationships/hyperlink" Target="https://jobs.ashbyhq.com/tessera-labs/4614d053-2c8f-4317-8cd2-1d1290721b06/application" TargetMode="External"/><Relationship Id="rId661" Type="http://schemas.openxmlformats.org/officeDocument/2006/relationships/hyperlink" Target="https://jobs.ashbyhq.com/etched/8c1e7aab-3c6d-49a3-8176-d9158acb181f" TargetMode="External"/><Relationship Id="rId1014" Type="http://schemas.openxmlformats.org/officeDocument/2006/relationships/hyperlink" Target="https://applyguy.ai/jobs?company=RTX&amp;job=4b859e34-d435-45ae-aa8e-7fdfbedd1483" TargetMode="External"/><Relationship Id="rId1498" Type="http://schemas.openxmlformats.org/officeDocument/2006/relationships/hyperlink" Target="https://touchdown-labs.com/careers/mts-intern/?jr_id=6a68292c50dec41e3527e633" TargetMode="External"/><Relationship Id="rId1004" Type="http://schemas.openxmlformats.org/officeDocument/2006/relationships/hyperlink" Target="https://applyguy.ai/jobs?company=Northrop+Grumman&amp;job=6c62a020-14d8-4db9-8ec7-172a10094ed2" TargetMode="External"/><Relationship Id="rId1488" Type="http://schemas.openxmlformats.org/officeDocument/2006/relationships/hyperlink" Target="https://jobs.smartrecruiters.com/SmithsGroup2/744000138415594" TargetMode="External"/><Relationship Id="rId1005" Type="http://schemas.openxmlformats.org/officeDocument/2006/relationships/hyperlink" Target="https://applyguy.ai/jobs?company=Northrop+Grumman&amp;job=d3020003-0db8-484f-8505-d0436e025f6d" TargetMode="External"/><Relationship Id="rId1489" Type="http://schemas.openxmlformats.org/officeDocument/2006/relationships/hyperlink" Target="https://jobright.ai/jobs/info/6a32ca8cce501060b5cea4a6" TargetMode="External"/><Relationship Id="rId1006" Type="http://schemas.openxmlformats.org/officeDocument/2006/relationships/hyperlink" Target="https://applyguy.ai/jobs?company=Nosearch&amp;job=231c4a0a-5881-496f-8e5d-6b59643bf741" TargetMode="External"/><Relationship Id="rId1007" Type="http://schemas.openxmlformats.org/officeDocument/2006/relationships/hyperlink" Target="https://www.oldmissioncapital.com/careers?gh_jid=7796180003" TargetMode="External"/><Relationship Id="rId1008" Type="http://schemas.openxmlformats.org/officeDocument/2006/relationships/hyperlink" Target="https://www.optiver.com/join-us/jobs/8641352002/?gh_jid=8641352002" TargetMode="External"/><Relationship Id="rId1009" Type="http://schemas.openxmlformats.org/officeDocument/2006/relationships/hyperlink" Target="https://jobright.ai/jobs/info/6a0e5cb3beb4d73cb6231cfc" TargetMode="External"/><Relationship Id="rId657" Type="http://schemas.openxmlformats.org/officeDocument/2006/relationships/hyperlink" Target="https://simplify.jobs/p/b4a0c957-af54-480d-8abb-118638a37976" TargetMode="External"/><Relationship Id="rId656" Type="http://schemas.openxmlformats.org/officeDocument/2006/relationships/hyperlink" Target="https://charlottenc.wd12.myworkdayjobs.com/citgov/job/CLTW-Brookshire/Utility-AI-Interaction-Designer---Co-Op-II_JR104240" TargetMode="External"/><Relationship Id="rId655" Type="http://schemas.openxmlformats.org/officeDocument/2006/relationships/hyperlink" Target="https://cisco.wd5.myworkdayjobs.com/cisco_careers/job/San-Jose-California-US/Customer-Experience-Product-Management-Specialist-I--Intern----United-States_2008430" TargetMode="External"/><Relationship Id="rId654" Type="http://schemas.openxmlformats.org/officeDocument/2006/relationships/hyperlink" Target="https://jobs.eu.lever.co/cirrus/f85c944c-d437-4685-9f04-c7b79ae65ecb" TargetMode="External"/><Relationship Id="rId659" Type="http://schemas.openxmlformats.org/officeDocument/2006/relationships/hyperlink" Target="https://www.workatastartup.com/jobs/94211" TargetMode="External"/><Relationship Id="rId658" Type="http://schemas.openxmlformats.org/officeDocument/2006/relationships/hyperlink" Target="https://jobs.ashbyhq.com/constellationspace/b763d4ba-7b77-479b-89a0-f632d9d02f4a/application" TargetMode="External"/><Relationship Id="rId1480" Type="http://schemas.openxmlformats.org/officeDocument/2006/relationships/hyperlink" Target="https://selinc.wd1.myworkdayjobs.com/SEL/job/Texas---Houston/Engineering-Intern_2026-20169" TargetMode="External"/><Relationship Id="rId1481" Type="http://schemas.openxmlformats.org/officeDocument/2006/relationships/hyperlink" Target="https://applyguy.ai/jobs?company=Schweitzer+Engineering+Laboratories&amp;job=8d7f7613-09db-4574-aa58-db871929938e" TargetMode="External"/><Relationship Id="rId1482" Type="http://schemas.openxmlformats.org/officeDocument/2006/relationships/hyperlink" Target="https://applyguy.ai/jobs?company=Schweitzer+Engineering+Laboratories&amp;job=ae5a0c92-c637-440c-a4fb-cb6507ded427" TargetMode="External"/><Relationship Id="rId1483" Type="http://schemas.openxmlformats.org/officeDocument/2006/relationships/hyperlink" Target="https://www.builtinsf.com/job/software-engineer-intern/10156941" TargetMode="External"/><Relationship Id="rId653" Type="http://schemas.openxmlformats.org/officeDocument/2006/relationships/hyperlink" Target="https://caci.wd1.myworkdayjobs.com/en-US/external/job/King-of-Prussia-PA-US/AI-ML-Engineering-Co-op---Fall-2026_328403" TargetMode="External"/><Relationship Id="rId1000" Type="http://schemas.openxmlformats.org/officeDocument/2006/relationships/hyperlink" Target="https://johndeere.eightfold.ai/careers/job/137480957123" TargetMode="External"/><Relationship Id="rId1484" Type="http://schemas.openxmlformats.org/officeDocument/2006/relationships/hyperlink" Target="https://jobs.ashbyhq.com/serval/d7fb089c-db8a-4877-a5f3-73a09e67f54b" TargetMode="External"/><Relationship Id="rId652" Type="http://schemas.openxmlformats.org/officeDocument/2006/relationships/hyperlink" Target="https://ats.rippling.com/briowt/jobs/52da1fca-1cb1-49ff-8a94-b6f3850cd8eb" TargetMode="External"/><Relationship Id="rId1001" Type="http://schemas.openxmlformats.org/officeDocument/2006/relationships/hyperlink" Target="https://jobs.ashbyhq.com/junior/23ee686b-d305-4ac9-860d-16c99ddb4891" TargetMode="External"/><Relationship Id="rId1485" Type="http://schemas.openxmlformats.org/officeDocument/2006/relationships/hyperlink" Target="https://www.workatastartup.com/jobs/85257" TargetMode="External"/><Relationship Id="rId651" Type="http://schemas.openxmlformats.org/officeDocument/2006/relationships/hyperlink" Target="https://applyguy.ai/jobs?company=Axogen&amp;job=dce006db-2f24-410a-9c17-3c6d0d2ba891" TargetMode="External"/><Relationship Id="rId1002" Type="http://schemas.openxmlformats.org/officeDocument/2006/relationships/hyperlink" Target="https://applyguy.ai/jobs?company=Ntst&amp;job=b1568b63-dae5-4b2b-a034-a4a794b067e2" TargetMode="External"/><Relationship Id="rId1486" Type="http://schemas.openxmlformats.org/officeDocument/2006/relationships/hyperlink" Target="https://applyguy.ai/jobs?company=SK+hynix+memory+solutions+America+Inc.&amp;job=da083c4f-058c-4b8d-8b5d-54e824e988e3" TargetMode="External"/><Relationship Id="rId650" Type="http://schemas.openxmlformats.org/officeDocument/2006/relationships/hyperlink" Target="https://jobs.ashbyhq.com/architect/1999377b-b23b-461f-b79a-d4edce0d46b1/application?embed=true" TargetMode="External"/><Relationship Id="rId1003" Type="http://schemas.openxmlformats.org/officeDocument/2006/relationships/hyperlink" Target="https://applyguy.ai/jobs?company=Ntst&amp;job=d5226255-62fb-450b-981c-dc56e065d2fb" TargetMode="External"/><Relationship Id="rId1487" Type="http://schemas.openxmlformats.org/officeDocument/2006/relationships/hyperlink" Target="https://job-boards.greenhouse.io/skhynixmemorysolutionsamericainc/jobs/4342038009" TargetMode="External"/><Relationship Id="rId1037" Type="http://schemas.openxmlformats.org/officeDocument/2006/relationships/hyperlink" Target="https://job-boards.greenhouse.io/walleyecapital-external-students/jobs/4676334006" TargetMode="External"/><Relationship Id="rId1038" Type="http://schemas.openxmlformats.org/officeDocument/2006/relationships/hyperlink" Target="https://job-boards.greenhouse.io/walleyecapital-external-students/jobs/4679168006" TargetMode="External"/><Relationship Id="rId1039" Type="http://schemas.openxmlformats.org/officeDocument/2006/relationships/hyperlink" Target="https://jobs.smartrecruiters.com/WesternDigital/744000140949875" TargetMode="External"/><Relationship Id="rId206" Type="http://schemas.openxmlformats.org/officeDocument/2006/relationships/hyperlink" Target="https://summerofcode.withgoogle.com/" TargetMode="External"/><Relationship Id="rId205" Type="http://schemas.openxmlformats.org/officeDocument/2006/relationships/hyperlink" Target="https://www.builtinsf.com/job/software-engineer-intern-fall-winter-2026/9230630" TargetMode="External"/><Relationship Id="rId689" Type="http://schemas.openxmlformats.org/officeDocument/2006/relationships/hyperlink" Target="https://job-boards.greenhouse.io/stackadapt-confidential/jobs/4236607009" TargetMode="External"/><Relationship Id="rId204" Type="http://schemas.openxmlformats.org/officeDocument/2006/relationships/hyperlink" Target="https://jobright.ai/jobs/info/6a2d7ee0fc0644749054c56b" TargetMode="External"/><Relationship Id="rId688" Type="http://schemas.openxmlformats.org/officeDocument/2006/relationships/hyperlink" Target="https://jobs.ashbyhq.com/saronic/c95c2e3a-4c67-47b0-a03d-0e0317ac11a3" TargetMode="External"/><Relationship Id="rId203" Type="http://schemas.openxmlformats.org/officeDocument/2006/relationships/hyperlink" Target="https://www.citadelsecurities.com/careers/details/quantitative-trader-intern-us/" TargetMode="External"/><Relationship Id="rId687" Type="http://schemas.openxmlformats.org/officeDocument/2006/relationships/hyperlink" Target="https://job-boards.greenhouse.io/samsungresearchamericainternship/jobs/8438402002" TargetMode="External"/><Relationship Id="rId209" Type="http://schemas.openxmlformats.org/officeDocument/2006/relationships/hyperlink" Target="https://www.janestreet.com/join-jane-street/position/8617344002/" TargetMode="External"/><Relationship Id="rId208" Type="http://schemas.openxmlformats.org/officeDocument/2006/relationships/hyperlink" Target="https://www.janestreet.com/join-jane-street/position/8498547002/" TargetMode="External"/><Relationship Id="rId207" Type="http://schemas.openxmlformats.org/officeDocument/2006/relationships/hyperlink" Target="https://www.hudsonrivertrading.com/careers/job/?gh_jid=7964062" TargetMode="External"/><Relationship Id="rId682" Type="http://schemas.openxmlformats.org/officeDocument/2006/relationships/hyperlink" Target="https://jobs.ashbyhq.com/phonic/a6c8c3d2-250a-4c2f-8a20-e4667ca38e41" TargetMode="External"/><Relationship Id="rId681" Type="http://schemas.openxmlformats.org/officeDocument/2006/relationships/hyperlink" Target="https://psu.wd1.myworkdayjobs.com/PSU_Staff/job/Penn-State-University-Park/Research-Engineering-Interns_REQ_0000080335-1" TargetMode="External"/><Relationship Id="rId1030" Type="http://schemas.openxmlformats.org/officeDocument/2006/relationships/hyperlink" Target="https://job-boards.greenhouse.io/transmarketgroup/jobs/5151577007" TargetMode="External"/><Relationship Id="rId680" Type="http://schemas.openxmlformats.org/officeDocument/2006/relationships/hyperlink" Target="https://job-boards.greenhouse.io/pdtpartners/jobs/8077685" TargetMode="External"/><Relationship Id="rId1031" Type="http://schemas.openxmlformats.org/officeDocument/2006/relationships/hyperlink" Target="https://travelers.wd5.myworkdayjobs.com/External/job/CT---Hartford/Engineering-Development-Program--EDP----Intern_R-51185" TargetMode="External"/><Relationship Id="rId1032" Type="http://schemas.openxmlformats.org/officeDocument/2006/relationships/hyperlink" Target="https://university-uber.icims.com/jobs/159161/job?mobile=false&amp;width=1270&amp;height=500&amp;bga=true&amp;needsRedirect=false&amp;jan1offset=-300&amp;jun1offset=-240" TargetMode="External"/><Relationship Id="rId202" Type="http://schemas.openxmlformats.org/officeDocument/2006/relationships/hyperlink" Target="https://jobs.ashbyhq.com/valstad/7ff6d452-969f-43a6-9127-d153025e6aea" TargetMode="External"/><Relationship Id="rId686" Type="http://schemas.openxmlformats.org/officeDocument/2006/relationships/hyperlink" Target="https://globalhr.wd5.myworkdayjobs.com/rec_rtx_ext_gateway/job/US-CT-EAST-HARTFORD-RTRC-K--411-Silver-Ln--RTRC-K/Fall-2026--Intern-Coop--Machine-Learning-Researcher_01860050" TargetMode="External"/><Relationship Id="rId1033" Type="http://schemas.openxmlformats.org/officeDocument/2006/relationships/hyperlink" Target="https://applyguy.ai/jobs?company=Uline&amp;job=402c63c2-dd0b-4036-9bb6-99e14d6efe81" TargetMode="External"/><Relationship Id="rId201" Type="http://schemas.openxmlformats.org/officeDocument/2006/relationships/hyperlink" Target="https://tencent.wd1.myworkdayjobs.com/OA_Huoshui_Platform/job/US-California-Palo-Alto/Research-Intern---Video-World-Models--Research---ML-Systems-_R107752" TargetMode="External"/><Relationship Id="rId685" Type="http://schemas.openxmlformats.org/officeDocument/2006/relationships/hyperlink" Target="https://applyguy.ai/jobs?company=RTX&amp;job=5d697427-9a27-4906-97fb-81be99147f49" TargetMode="External"/><Relationship Id="rId1034" Type="http://schemas.openxmlformats.org/officeDocument/2006/relationships/hyperlink" Target="https://job-boards.greenhouse.io/verkada/jobs/5099596007" TargetMode="External"/><Relationship Id="rId200" Type="http://schemas.openxmlformats.org/officeDocument/2006/relationships/hyperlink" Target="https://wd3.myworkdaysite.com/recruiting/magna/Magna/job/Troy-Michigan-US/R-D--Computer-Vision-Engineering-Intern_R00253444-1" TargetMode="External"/><Relationship Id="rId684" Type="http://schemas.openxmlformats.org/officeDocument/2006/relationships/hyperlink" Target="https://globalhr.wd5.myworkdayjobs.com/en-US/rec_rtx_ext_gateway/job/US-CT-EAST-HARTFORD-RTRC-K--411-Silver-Ln--RTRC-K/Fall-2026--Intern-Coop--Machine-Learning-Researcher_01860050" TargetMode="External"/><Relationship Id="rId1035" Type="http://schemas.openxmlformats.org/officeDocument/2006/relationships/hyperlink" Target="https://job-boards.greenhouse.io/virtu/jobs/8657286002" TargetMode="External"/><Relationship Id="rId683" Type="http://schemas.openxmlformats.org/officeDocument/2006/relationships/hyperlink" Target="https://jobs.ashbyhq.com/quadrillion-labs/a4acc44c-31ce-41a0-ab44-2500487b4d05/application?embed=true" TargetMode="External"/><Relationship Id="rId1036" Type="http://schemas.openxmlformats.org/officeDocument/2006/relationships/hyperlink" Target="https://voloridge-investment-management.hiringthing.com/job/1013126/quantitative-developer-intern-2027" TargetMode="External"/><Relationship Id="rId1026" Type="http://schemas.openxmlformats.org/officeDocument/2006/relationships/hyperlink" Target="https://troweprice.wd5.myworkdayjobs.com/en-US/TRowePrice/job/Baltimore-MD/XMLNAME-2027-Global-Trading-Internship-Program_82718" TargetMode="External"/><Relationship Id="rId1027" Type="http://schemas.openxmlformats.org/officeDocument/2006/relationships/hyperlink" Target="https://edbz.fa.us2.oraclecloud.com/hcmUI/CandidateExperience/en/sites/CX/job/25016832" TargetMode="External"/><Relationship Id="rId1028" Type="http://schemas.openxmlformats.org/officeDocument/2006/relationships/hyperlink" Target="https://applyguy.ai/jobs?company=The+Hartford&amp;job=d271d6e4-bbb4-4de6-ba77-b50ae47b65a8" TargetMode="External"/><Relationship Id="rId1029" Type="http://schemas.openxmlformats.org/officeDocument/2006/relationships/hyperlink" Target="https://applyguy.ai/jobs?company=The+Trade+Desk&amp;job=da454023-d04b-4f4f-ba03-eec1ab969797" TargetMode="External"/><Relationship Id="rId679" Type="http://schemas.openxmlformats.org/officeDocument/2006/relationships/hyperlink" Target="https://jobs.lever.co/palantir/b229baac-494b-4a0d-9a13-2e38806e06f3" TargetMode="External"/><Relationship Id="rId678" Type="http://schemas.openxmlformats.org/officeDocument/2006/relationships/hyperlink" Target="https://jobs.lever.co/palantir/7d69cf8a-06fd-4f05-bd84-27149db29c4d" TargetMode="External"/><Relationship Id="rId677" Type="http://schemas.openxmlformats.org/officeDocument/2006/relationships/hyperlink" Target="https://hctz.fa.us2.oraclecloud.com/hcmUI/CandidateExperience/en/sites/CX_1001/job/2505878" TargetMode="External"/><Relationship Id="rId676" Type="http://schemas.openxmlformats.org/officeDocument/2006/relationships/hyperlink" Target="https://jobs.ashbyhq.com/oligo/107f5148-84bd-43ba-a49d-ac8928898ca6/application" TargetMode="External"/><Relationship Id="rId671" Type="http://schemas.openxmlformats.org/officeDocument/2006/relationships/hyperlink" Target="https://job-boards.greenhouse.io/mwinternshipprogram/jobs/8606238002" TargetMode="External"/><Relationship Id="rId670" Type="http://schemas.openxmlformats.org/officeDocument/2006/relationships/hyperlink" Target="https://liveramp.wd5.myworkdayjobs.com/LiveRampCareers/job/New-York/Intern--Software-Engineer---Pixel-Serving_JR012201" TargetMode="External"/><Relationship Id="rId1020" Type="http://schemas.openxmlformats.org/officeDocument/2006/relationships/hyperlink" Target="https://applyguy.ai/jobs?company=RTX&amp;job=49c3abab-438e-4d98-a80c-7d8a033ebd2f" TargetMode="External"/><Relationship Id="rId1021" Type="http://schemas.openxmlformats.org/officeDocument/2006/relationships/hyperlink" Target="https://www.samsara.com/company/careers/roles/8082091?gh_jid=8082091" TargetMode="External"/><Relationship Id="rId675" Type="http://schemas.openxmlformats.org/officeDocument/2006/relationships/hyperlink" Target="https://applyguy.ai/jobs?company=NXP+Semiconductors&amp;job=d22059a4-aa1d-4cfe-823d-4f1c6601bc18" TargetMode="External"/><Relationship Id="rId1022" Type="http://schemas.openxmlformats.org/officeDocument/2006/relationships/hyperlink" Target="https://jobs.ashbyhq.com/skydio/d75d4adf-760c-46b6-bb98-3497650a8924" TargetMode="External"/><Relationship Id="rId674" Type="http://schemas.openxmlformats.org/officeDocument/2006/relationships/hyperlink" Target="https://jobs.ashbyhq.com/ntt-data-aivista/75f9f312-1cf9-4141-b352-60cb2fac8fe9/application?embed=true" TargetMode="External"/><Relationship Id="rId1023" Type="http://schemas.openxmlformats.org/officeDocument/2006/relationships/hyperlink" Target="https://sonyglobal.wd1.myworkdayjobs.com/sonyglobalcareers/job/San-Diego/Software-Engineer-Intern_JR-119282" TargetMode="External"/><Relationship Id="rId673" Type="http://schemas.openxmlformats.org/officeDocument/2006/relationships/hyperlink" Target="https://job-boards.greenhouse.io/nationalpublicradioinc/jobs/4701925005" TargetMode="External"/><Relationship Id="rId1024" Type="http://schemas.openxmlformats.org/officeDocument/2006/relationships/hyperlink" Target="https://careers.sig.com/jobs/10916" TargetMode="External"/><Relationship Id="rId672" Type="http://schemas.openxmlformats.org/officeDocument/2006/relationships/hyperlink" Target="https://jobs.ashbyhq.com/melius/b61f063a-4f94-4e50-a4ef-05aaab552280/application?embed=true" TargetMode="External"/><Relationship Id="rId1025" Type="http://schemas.openxmlformats.org/officeDocument/2006/relationships/hyperlink" Target="https://careers-sig.icims.com/jobs/10626/job?mobile=true&amp;needsRedirect=false" TargetMode="External"/><Relationship Id="rId190" Type="http://schemas.openxmlformats.org/officeDocument/2006/relationships/hyperlink" Target="https://lifeattiktok.com/referral/tiktok/campus/position/7537493362585979154/detail?token=MzsxNzU3OTM3MTgyMDE1OzczNzM0OTcwMTcxNzQxMzIyNDA7MDsy" TargetMode="External"/><Relationship Id="rId194" Type="http://schemas.openxmlformats.org/officeDocument/2006/relationships/hyperlink" Target="https://www.deshaw.com/careers/quantitative-analyst-ph-d-intern-new-york-summer-2027-5891" TargetMode="External"/><Relationship Id="rId193" Type="http://schemas.openxmlformats.org/officeDocument/2006/relationships/hyperlink" Target="https://applyguy.ai/jobs?company=Apptronik&amp;job=9b50be2b-01ea-4586-ad98-8a9f5970f548" TargetMode="External"/><Relationship Id="rId192" Type="http://schemas.openxmlformats.org/officeDocument/2006/relationships/hyperlink" Target="https://boards.greenhouse.io/apptronik/jobs/5985132004?gh_jid=5985132004" TargetMode="External"/><Relationship Id="rId191" Type="http://schemas.openxmlformats.org/officeDocument/2006/relationships/hyperlink" Target="https://jobs.bytedance.com/en/position/7670330161462364421/detail" TargetMode="External"/><Relationship Id="rId187" Type="http://schemas.openxmlformats.org/officeDocument/2006/relationships/hyperlink" Target="https://lifeattiktok.com/search/7667934792727906565" TargetMode="External"/><Relationship Id="rId186" Type="http://schemas.openxmlformats.org/officeDocument/2006/relationships/hyperlink" Target="https://lifeattiktok.com/search/7668820702623467781" TargetMode="External"/><Relationship Id="rId185" Type="http://schemas.openxmlformats.org/officeDocument/2006/relationships/hyperlink" Target="https://lifeattiktok.com/search/7669927344569764101" TargetMode="External"/><Relationship Id="rId184" Type="http://schemas.openxmlformats.org/officeDocument/2006/relationships/hyperlink" Target="https://lifeattiktok.com/search/7670009830602721589" TargetMode="External"/><Relationship Id="rId189" Type="http://schemas.openxmlformats.org/officeDocument/2006/relationships/hyperlink" Target="https://lifeattiktok.com/search/7662661203281447221" TargetMode="External"/><Relationship Id="rId188" Type="http://schemas.openxmlformats.org/officeDocument/2006/relationships/hyperlink" Target="https://jobs.bytedance.com/en/position/7539992380817639687/detail" TargetMode="External"/><Relationship Id="rId183" Type="http://schemas.openxmlformats.org/officeDocument/2006/relationships/hyperlink" Target="https://lifeattiktok.com/search/7662657855099357493" TargetMode="External"/><Relationship Id="rId182" Type="http://schemas.openxmlformats.org/officeDocument/2006/relationships/hyperlink" Target="https://lifeattiktok.com/search/7667933770625599749" TargetMode="External"/><Relationship Id="rId181" Type="http://schemas.openxmlformats.org/officeDocument/2006/relationships/hyperlink" Target="https://lifeattiktok.com/search/7532390182411405586" TargetMode="External"/><Relationship Id="rId180" Type="http://schemas.openxmlformats.org/officeDocument/2006/relationships/hyperlink" Target="https://lifeattiktok.com/search/7557122323507349778" TargetMode="External"/><Relationship Id="rId176" Type="http://schemas.openxmlformats.org/officeDocument/2006/relationships/hyperlink" Target="https://joinbytedance.com/search/7535951608832657682" TargetMode="External"/><Relationship Id="rId175" Type="http://schemas.openxmlformats.org/officeDocument/2006/relationships/hyperlink" Target="https://joinbytedance.com/search/7535171166420453639" TargetMode="External"/><Relationship Id="rId174" Type="http://schemas.openxmlformats.org/officeDocument/2006/relationships/hyperlink" Target="https://jobs.bytedance.com/en/position/7535168003103033618/detail" TargetMode="External"/><Relationship Id="rId173" Type="http://schemas.openxmlformats.org/officeDocument/2006/relationships/hyperlink" Target="https://lifeattiktok.com/search/7665475888805611781" TargetMode="External"/><Relationship Id="rId179" Type="http://schemas.openxmlformats.org/officeDocument/2006/relationships/hyperlink" Target="https://lifeattiktok.com/search/7665475460339665157" TargetMode="External"/><Relationship Id="rId178" Type="http://schemas.openxmlformats.org/officeDocument/2006/relationships/hyperlink" Target="https://lifeattiktok.com/search/7667338938890930437" TargetMode="External"/><Relationship Id="rId177" Type="http://schemas.openxmlformats.org/officeDocument/2006/relationships/hyperlink" Target="https://lifeattiktok.com/search/7623531261580036405" TargetMode="External"/><Relationship Id="rId198" Type="http://schemas.openxmlformats.org/officeDocument/2006/relationships/hyperlink" Target="https://careers-sig.icims.com/jobs/10818/job" TargetMode="External"/><Relationship Id="rId197" Type="http://schemas.openxmlformats.org/officeDocument/2006/relationships/hyperlink" Target="https://www.skydio.com/jobs/d13e3179-e646-4873-84a6-d492a692bc25" TargetMode="External"/><Relationship Id="rId196" Type="http://schemas.openxmlformats.org/officeDocument/2006/relationships/hyperlink" Target="https://job-boards.greenhouse.io/point72/jobs/7297642002" TargetMode="External"/><Relationship Id="rId195" Type="http://schemas.openxmlformats.org/officeDocument/2006/relationships/hyperlink" Target="https://jpmc.fa.oraclecloud.com/hcmUI/CandidateExperience/en/sites/CX_1/job/210774038" TargetMode="External"/><Relationship Id="rId199" Type="http://schemas.openxmlformats.org/officeDocument/2006/relationships/hyperlink" Target="https://careers.sig.com/phds-postdocs/jobs/10820" TargetMode="External"/><Relationship Id="rId150" Type="http://schemas.openxmlformats.org/officeDocument/2006/relationships/hyperlink" Target="https://jobs.bytedance.com/en/position/7667379218929780997/detail" TargetMode="External"/><Relationship Id="rId149" Type="http://schemas.openxmlformats.org/officeDocument/2006/relationships/hyperlink" Target="https://lifeattiktok.com/search/7668204394458466565" TargetMode="External"/><Relationship Id="rId148" Type="http://schemas.openxmlformats.org/officeDocument/2006/relationships/hyperlink" Target="https://jobs.lever.co/palantir/09846827-b931-4a9f-bd64-c3bb8860187b/apply" TargetMode="External"/><Relationship Id="rId1090" Type="http://schemas.openxmlformats.org/officeDocument/2006/relationships/hyperlink" Target="https://gulfmanagement.applytojob.com/apply/pnJkrOYga9/Software-Engineer-Business-Systems-Intern" TargetMode="External"/><Relationship Id="rId1091" Type="http://schemas.openxmlformats.org/officeDocument/2006/relationships/hyperlink" Target="https://jobs.ashbyhq.com/Gumloop/dcdc0658-b3fd-44cd-b0cf-4016c9513d40/application?embed=true" TargetMode="External"/><Relationship Id="rId1092" Type="http://schemas.openxmlformats.org/officeDocument/2006/relationships/hyperlink" Target="https://jobs.lever.co/hermeus/3cee58bc-55ef-4230-acf2-9a2e2851cf43" TargetMode="External"/><Relationship Id="rId1093" Type="http://schemas.openxmlformats.org/officeDocument/2006/relationships/hyperlink" Target="https://jobs.lever.co/hermeus/51378fa0-0327-45fd-9420-b6e7d8b56440" TargetMode="External"/><Relationship Id="rId1094" Type="http://schemas.openxmlformats.org/officeDocument/2006/relationships/hyperlink" Target="https://jobs.lever.co/hermeus/751c9919-5b19-4609-80ff-ca82d6947e07" TargetMode="External"/><Relationship Id="rId143" Type="http://schemas.openxmlformats.org/officeDocument/2006/relationships/hyperlink" Target="https://www.hudsonrivertrading.com/careers/job/?gh_jid=8052083" TargetMode="External"/><Relationship Id="rId1095" Type="http://schemas.openxmlformats.org/officeDocument/2006/relationships/hyperlink" Target="https://jobs.lever.co/hermeus/86fd77a9-6498-43df-bfe0-2159aa6933db" TargetMode="External"/><Relationship Id="rId142" Type="http://schemas.openxmlformats.org/officeDocument/2006/relationships/hyperlink" Target="https://www.hudsonrivertrading.com/hrt-job/software-engineering-internship-c-or-python-summer-2027/" TargetMode="External"/><Relationship Id="rId1096" Type="http://schemas.openxmlformats.org/officeDocument/2006/relationships/hyperlink" Target="https://jobs.lever.co/hermeus/a3a1f0ea-6a4f-42e5-81c8-3b34dac22a67" TargetMode="External"/><Relationship Id="rId141" Type="http://schemas.openxmlformats.org/officeDocument/2006/relationships/hyperlink" Target="https://www.citadel.com/careers/details/software-engineer-intern-us/" TargetMode="External"/><Relationship Id="rId1097" Type="http://schemas.openxmlformats.org/officeDocument/2006/relationships/hyperlink" Target="https://jobs.lever.co/hermeus/3ee3f243-bab8-4bdb-b0d0-2214874ef49e" TargetMode="External"/><Relationship Id="rId140" Type="http://schemas.openxmlformats.org/officeDocument/2006/relationships/hyperlink" Target="https://job-boards.greenhouse.io/samsungresearchamericainternship/jobs/8560657002" TargetMode="External"/><Relationship Id="rId1098" Type="http://schemas.openxmlformats.org/officeDocument/2006/relationships/hyperlink" Target="https://jobs.ashbyhq.com/k-id/18619df2-45d8-4732-8815-9a340d498d48/application?embed=true" TargetMode="External"/><Relationship Id="rId147" Type="http://schemas.openxmlformats.org/officeDocument/2006/relationships/hyperlink" Target="https://www.janestreet.com/join-jane-street/position/8628843002/" TargetMode="External"/><Relationship Id="rId1099" Type="http://schemas.openxmlformats.org/officeDocument/2006/relationships/hyperlink" Target="https://jobs.ashbyhq.com/Kognitos/a4bc3ebf-b619-4c1b-9c9e-784d16c8b148/application?embed=true" TargetMode="External"/><Relationship Id="rId146" Type="http://schemas.openxmlformats.org/officeDocument/2006/relationships/hyperlink" Target="https://www.janestreet.com/join-jane-street/position/8599644002/" TargetMode="External"/><Relationship Id="rId145" Type="http://schemas.openxmlformats.org/officeDocument/2006/relationships/hyperlink" Target="https://www.janestreet.com/join-jane-street/position/8620793002/" TargetMode="External"/><Relationship Id="rId144" Type="http://schemas.openxmlformats.org/officeDocument/2006/relationships/hyperlink" Target="https://www.janestreet.com/join-jane-street/position/8626260002/" TargetMode="External"/><Relationship Id="rId139" Type="http://schemas.openxmlformats.org/officeDocument/2006/relationships/hyperlink" Target="https://recruiting.paylocity.com/Recruiting/Jobs/Details/4341435" TargetMode="External"/><Relationship Id="rId138" Type="http://schemas.openxmlformats.org/officeDocument/2006/relationships/hyperlink" Target="https://job-boards.greenhouse.io/kodiak/jobs/4174533009" TargetMode="External"/><Relationship Id="rId137" Type="http://schemas.openxmlformats.org/officeDocument/2006/relationships/hyperlink" Target="https://job-boards.greenhouse.io/verkada/jobs/5117760007" TargetMode="External"/><Relationship Id="rId1080" Type="http://schemas.openxmlformats.org/officeDocument/2006/relationships/hyperlink" Target="https://jobs.ashbyhq.com/dexmate/eac26b6f-1a53-441f-8e52-ee0a0b1bc119/application?embed=true" TargetMode="External"/><Relationship Id="rId1081" Type="http://schemas.openxmlformats.org/officeDocument/2006/relationships/hyperlink" Target="https://jobs.ashbyhq.com/ditto/cbece35a-bb1a-4c93-a866-510279b8756c/application?embed=true" TargetMode="External"/><Relationship Id="rId1082" Type="http://schemas.openxmlformats.org/officeDocument/2006/relationships/hyperlink" Target="https://dmainc.wd5.myworkdayjobs.com/en-US/dma/job/Fort-Wayne-IN/Software-Development-Intern_REQ460" TargetMode="External"/><Relationship Id="rId1083" Type="http://schemas.openxmlformats.org/officeDocument/2006/relationships/hyperlink" Target="https://jobs.ashbyhq.com/fab2/615feebf-d9e3-4583-9c85-ba16af44e65c/application?embed=true" TargetMode="External"/><Relationship Id="rId132" Type="http://schemas.openxmlformats.org/officeDocument/2006/relationships/hyperlink" Target="https://jobs.ashbyhq.com/1x/5b2b4c73-13b5-46ca-8467-8024741a4b57/application" TargetMode="External"/><Relationship Id="rId1084" Type="http://schemas.openxmlformats.org/officeDocument/2006/relationships/hyperlink" Target="https://jobs.ashbyhq.com/fab2/947338ca-e135-4398-9aa3-79e131bc03d5/application?embed=true" TargetMode="External"/><Relationship Id="rId131" Type="http://schemas.openxmlformats.org/officeDocument/2006/relationships/hyperlink" Target="https://lifeattiktok.com/search/7621299118434961669" TargetMode="External"/><Relationship Id="rId1085" Type="http://schemas.openxmlformats.org/officeDocument/2006/relationships/hyperlink" Target="https://jobs.ashbyhq.com/firetiger/7acf0768-f10d-4650-bcfc-12ed6e5d7cfc/application?embed=true" TargetMode="External"/><Relationship Id="rId130" Type="http://schemas.openxmlformats.org/officeDocument/2006/relationships/hyperlink" Target="https://lifeattiktok.com/search/7668696895234197813" TargetMode="External"/><Relationship Id="rId1086" Type="http://schemas.openxmlformats.org/officeDocument/2006/relationships/hyperlink" Target="https://bankeasy.wd5.myworkdayjobs.com/bank-easy-job-openings/job/Brookings-SD-East/SharePoint-Power-Platform-Intern_R-100780" TargetMode="External"/><Relationship Id="rId1087" Type="http://schemas.openxmlformats.org/officeDocument/2006/relationships/hyperlink" Target="https://jobs.ashbyhq.com/fluency/2aced4e2-485b-4525-802c-763e62c91e88/application?embed=true" TargetMode="External"/><Relationship Id="rId136" Type="http://schemas.openxmlformats.org/officeDocument/2006/relationships/hyperlink" Target="https://jobs.ashbyhq.com/skydio/1ec2fe3c-3fb2-4485-870d-764a3e5f5baf/application?embed=true" TargetMode="External"/><Relationship Id="rId1088" Type="http://schemas.openxmlformats.org/officeDocument/2006/relationships/hyperlink" Target="https://careers.formlabs.com/job/8108754/apply/?gh_jid=8108754" TargetMode="External"/><Relationship Id="rId135" Type="http://schemas.openxmlformats.org/officeDocument/2006/relationships/hyperlink" Target="https://job-boards.greenhouse.io/scaleai/jobs/4703343005" TargetMode="External"/><Relationship Id="rId1089" Type="http://schemas.openxmlformats.org/officeDocument/2006/relationships/hyperlink" Target="https://haier.wd3.myworkdayjobs.com/GE_Appliances/job/USA-Louisville-KY/Digital-Technology-Spring-2027-Intern_REQ-25831" TargetMode="External"/><Relationship Id="rId134" Type="http://schemas.openxmlformats.org/officeDocument/2006/relationships/hyperlink" Target="https://jobs.ashbyhq.com/pika/e135acb1-2a0b-47b4-81b2-3cb0f787657a/application" TargetMode="External"/><Relationship Id="rId133" Type="http://schemas.openxmlformats.org/officeDocument/2006/relationships/hyperlink" Target="https://www.pathai.com/careers/8651564002?gh_jid=8651564002" TargetMode="External"/><Relationship Id="rId172" Type="http://schemas.openxmlformats.org/officeDocument/2006/relationships/hyperlink" Target="https://lifeattiktok.com/search/7667350291952765237" TargetMode="External"/><Relationship Id="rId171" Type="http://schemas.openxmlformats.org/officeDocument/2006/relationships/hyperlink" Target="https://lifeattiktok.com/search/7668654528822954245" TargetMode="External"/><Relationship Id="rId170" Type="http://schemas.openxmlformats.org/officeDocument/2006/relationships/hyperlink" Target="https://lifeattiktok.com/search/7667339583362025781" TargetMode="External"/><Relationship Id="rId165" Type="http://schemas.openxmlformats.org/officeDocument/2006/relationships/hyperlink" Target="https://lifeattiktok.com/search/7646621925436131637" TargetMode="External"/><Relationship Id="rId164" Type="http://schemas.openxmlformats.org/officeDocument/2006/relationships/hyperlink" Target="https://joinbytedance.com/search/7668801556469762357" TargetMode="External"/><Relationship Id="rId163" Type="http://schemas.openxmlformats.org/officeDocument/2006/relationships/hyperlink" Target="https://www.tesla.com/careers/search/job/272619" TargetMode="External"/><Relationship Id="rId162" Type="http://schemas.openxmlformats.org/officeDocument/2006/relationships/hyperlink" Target="https://www.tesla.com/careers/search/job/262946" TargetMode="External"/><Relationship Id="rId169" Type="http://schemas.openxmlformats.org/officeDocument/2006/relationships/hyperlink" Target="https://joinbytedance.com/search/7538942403488188680" TargetMode="External"/><Relationship Id="rId168" Type="http://schemas.openxmlformats.org/officeDocument/2006/relationships/hyperlink" Target="https://lifeattiktok.com/search/7668379675467761925" TargetMode="External"/><Relationship Id="rId167" Type="http://schemas.openxmlformats.org/officeDocument/2006/relationships/hyperlink" Target="https://joinbytedance.com/search/7645070235035044101" TargetMode="External"/><Relationship Id="rId166" Type="http://schemas.openxmlformats.org/officeDocument/2006/relationships/hyperlink" Target="https://simplify.jobs/p/76291290-bef0-475b-8a78-7859ffb4fd99/AILLM-Network-Research-Intern-High-Speed-Network-PhD" TargetMode="External"/><Relationship Id="rId161" Type="http://schemas.openxmlformats.org/officeDocument/2006/relationships/hyperlink" Target="https://apply.careers.microsoft.com/careers/job/1970393556867858" TargetMode="External"/><Relationship Id="rId160" Type="http://schemas.openxmlformats.org/officeDocument/2006/relationships/hyperlink" Target="https://apply.careers.microsoft.com/careers/job/1970393556953113" TargetMode="External"/><Relationship Id="rId159" Type="http://schemas.openxmlformats.org/officeDocument/2006/relationships/hyperlink" Target="https://apply.careers.microsoft.com/careers/job/1970393556868271" TargetMode="External"/><Relationship Id="rId154" Type="http://schemas.openxmlformats.org/officeDocument/2006/relationships/hyperlink" Target="https://jobs.apple.com/en-us/details/200664780-3810/machine-learning-and-artificial-intelligence-undergrad-internships" TargetMode="External"/><Relationship Id="rId153" Type="http://schemas.openxmlformats.org/officeDocument/2006/relationships/hyperlink" Target="https://jobs.bytedance.com/en/position/7668371456348326149/detail" TargetMode="External"/><Relationship Id="rId152" Type="http://schemas.openxmlformats.org/officeDocument/2006/relationships/hyperlink" Target="https://jobs.bytedance.com/en/position/7668371003554138421" TargetMode="External"/><Relationship Id="rId151" Type="http://schemas.openxmlformats.org/officeDocument/2006/relationships/hyperlink" Target="https://jobs.bytedance.com/en/position/7667380188619131189/detail" TargetMode="External"/><Relationship Id="rId158" Type="http://schemas.openxmlformats.org/officeDocument/2006/relationships/hyperlink" Target="https://apply.careers.microsoft.com/careers/job/1970393556885678" TargetMode="External"/><Relationship Id="rId157" Type="http://schemas.openxmlformats.org/officeDocument/2006/relationships/hyperlink" Target="https://www.metacareers.com/jobs/2160167211413098" TargetMode="External"/><Relationship Id="rId156" Type="http://schemas.openxmlformats.org/officeDocument/2006/relationships/hyperlink" Target="https://simplify.jobs/p/719d1cee-5971-45a1-9276-2f45faf5e04b" TargetMode="External"/><Relationship Id="rId155" Type="http://schemas.openxmlformats.org/officeDocument/2006/relationships/hyperlink" Target="https://jobs.ashbyhq.com/auctor/4f3db71d-d7ed-4b4f-846a-6e0962ce2661" TargetMode="External"/><Relationship Id="rId1510" Type="http://schemas.openxmlformats.org/officeDocument/2006/relationships/hyperlink" Target="https://careers-eastpennmanufacturing.icims.com/jobs/30020/job" TargetMode="External"/><Relationship Id="rId1511" Type="http://schemas.openxmlformats.org/officeDocument/2006/relationships/hyperlink" Target="https://jobs.ashbyhq.com/eightsleep/0adea282-8c47-4c3b-962c-e5658ef02cdd" TargetMode="External"/><Relationship Id="rId1512" Type="http://schemas.openxmlformats.org/officeDocument/2006/relationships/hyperlink" Target="https://job-boards.greenhouse.io/eulerity/jobs/4701817006" TargetMode="External"/><Relationship Id="rId1513" Type="http://schemas.openxmlformats.org/officeDocument/2006/relationships/hyperlink" Target="https://job-boards.greenhouse.io/excelsportsmanagement/jobs/4716581005" TargetMode="External"/><Relationship Id="rId1514" Type="http://schemas.openxmlformats.org/officeDocument/2006/relationships/hyperlink" Target="https://rb.wd5.myworkdayjobs.com/en-US/FRS/job/Boston-MA/Graduate-Intern---Statistical-Analysis_R-0000032931" TargetMode="External"/><Relationship Id="rId1515" Type="http://schemas.openxmlformats.org/officeDocument/2006/relationships/hyperlink" Target="https://gi.wd1.myworkdayjobs.com/Global_Infrastructure/job/US--IL--Chicago---200-South-Wacker-Drive/Alternative-Delivery-Project-Analytics-Intern_5963-1" TargetMode="External"/><Relationship Id="rId1516" Type="http://schemas.openxmlformats.org/officeDocument/2006/relationships/hyperlink" Target="https://theirc.wd1.myworkdayjobs.com/en-US/External_Careers/job/San-Diego-CA-USA/Fall-2026--Data-Integration---Reporting-Intern--Unpaid-_JR00004327" TargetMode="External"/><Relationship Id="rId1517" Type="http://schemas.openxmlformats.org/officeDocument/2006/relationships/hyperlink" Target="https://bcbsla.wd1.myworkdayjobs.com/Generation_Blue/job/Corporate---Baton-Rouge-LA/CW-Data-Modeler-Intern_R11956" TargetMode="External"/><Relationship Id="rId1518" Type="http://schemas.openxmlformats.org/officeDocument/2006/relationships/hyperlink" Target="https://bcbsla.wd1.myworkdayjobs.com/Generation_Blue/job/Corporate---Baton-Rouge-LA/Healthcare-Price-and-Transparency-Data-Analyst-Intern_R11903" TargetMode="External"/><Relationship Id="rId1519" Type="http://schemas.openxmlformats.org/officeDocument/2006/relationships/hyperlink" Target="https://bcbsla.wd1.myworkdayjobs.com/Generation_Blue/job/Corporate---Baton-Rouge-LA/CW-Operational-Reporting---Data-Analyst-Intern_R11907" TargetMode="External"/><Relationship Id="rId1500" Type="http://schemas.openxmlformats.org/officeDocument/2006/relationships/hyperlink" Target="https://usbank.wd1.myworkdayjobs.com/us_bank_careers/job/Hopkins-MN/Mainframe-Software-Engineering-Apprentice-2_2026-0020641" TargetMode="External"/><Relationship Id="rId1501" Type="http://schemas.openxmlformats.org/officeDocument/2006/relationships/hyperlink" Target="https://uline.wd1.myworkdayjobs.com/Uline_Careers/job/Pleasant-Prairie-WI/Product-Marketing-Internship---Summer-2027_R265897" TargetMode="External"/><Relationship Id="rId1502" Type="http://schemas.openxmlformats.org/officeDocument/2006/relationships/hyperlink" Target="https://ats.rippling.com/acretrader-jobs/jobs/e0192aa0-bd65-4262-81ed-d64685c7dc41" TargetMode="External"/><Relationship Id="rId1503" Type="http://schemas.openxmlformats.org/officeDocument/2006/relationships/hyperlink" Target="https://ameren.wd1.myworkdayjobs.com/External/job/St-Louis-MO/Data-Analytics-Coop_033877-1" TargetMode="External"/><Relationship Id="rId1504" Type="http://schemas.openxmlformats.org/officeDocument/2006/relationships/hyperlink" Target="https://ebcs.fa.em2.oraclecloud.com/hcmUI/CandidateExperience/en/sites/CX_1/job/40340" TargetMode="External"/><Relationship Id="rId1505" Type="http://schemas.openxmlformats.org/officeDocument/2006/relationships/hyperlink" Target="https://asu.wd1.myworkdayjobs.com/ASUStaffCareers/job/Campus-Tempe/Management-Intern---Career-Data-and-Analytics_JR124023" TargetMode="External"/><Relationship Id="rId1506" Type="http://schemas.openxmlformats.org/officeDocument/2006/relationships/hyperlink" Target="https://jobs.bmwgroup.com/job/Columbus-Intern,-Data-Scientist-DSSC-Ohio/1382355333/" TargetMode="External"/><Relationship Id="rId1507" Type="http://schemas.openxmlformats.org/officeDocument/2006/relationships/hyperlink" Target="https://circlek.wd3.myworkdayjobs.com/circlekstorejobs/job/Nonstore-B152-Charlotte-NC/Analyst-Intern---Global-Fuels_R606611" TargetMode="External"/><Relationship Id="rId1508" Type="http://schemas.openxmlformats.org/officeDocument/2006/relationships/hyperlink" Target="https://delta.avature.net/en_US/careers/JobDetail?jobid=32928" TargetMode="External"/><Relationship Id="rId1509" Type="http://schemas.openxmlformats.org/officeDocument/2006/relationships/hyperlink" Target="https://careers-eastpennmanufacturing.icims.com/jobs/30007/job" TargetMode="External"/><Relationship Id="rId1576" Type="http://schemas.openxmlformats.org/officeDocument/2006/relationships/hyperlink" Target="https://equifax.wd5.myworkdayjobs.com/UR_External/job/USA---Georgia---Alpharetta---30005/Data---Analytics-Intern_J00171081" TargetMode="External"/><Relationship Id="rId1577" Type="http://schemas.openxmlformats.org/officeDocument/2006/relationships/hyperlink" Target="https://jobs.lever.co/evrealty-us/0274f48f-9b19-4bed-bf6a-5e02a2b1e865" TargetMode="External"/><Relationship Id="rId1578" Type="http://schemas.openxmlformats.org/officeDocument/2006/relationships/hyperlink" Target="https://evrazna.wd5.myworkdayjobs.com/en-US/evraz/job/Pueblo-CO-USA/Inventory-Data-Analyst-Intern_R7320" TargetMode="External"/><Relationship Id="rId1579" Type="http://schemas.openxmlformats.org/officeDocument/2006/relationships/hyperlink" Target="https://job-boards.greenhouse.io/fccincinnati/jobs/7741524003" TargetMode="External"/><Relationship Id="rId509" Type="http://schemas.openxmlformats.org/officeDocument/2006/relationships/hyperlink" Target="https://jobs.bytedance.com/en/position/7537152240618195208/detail" TargetMode="External"/><Relationship Id="rId508" Type="http://schemas.openxmlformats.org/officeDocument/2006/relationships/hyperlink" Target="https://joinbytedance.com/search/7662449816279419141" TargetMode="External"/><Relationship Id="rId503" Type="http://schemas.openxmlformats.org/officeDocument/2006/relationships/hyperlink" Target="https://www.tesla.com/careers/search/job/271362" TargetMode="External"/><Relationship Id="rId987" Type="http://schemas.openxmlformats.org/officeDocument/2006/relationships/hyperlink" Target="https://jobs.ashbyhq.com/circleback/2bb6be67-d1a8-42f7-bb1b-64ee36bf613f/application" TargetMode="External"/><Relationship Id="rId502" Type="http://schemas.openxmlformats.org/officeDocument/2006/relationships/hyperlink" Target="https://www.tesla.com/careers/search/job/271372" TargetMode="External"/><Relationship Id="rId986" Type="http://schemas.openxmlformats.org/officeDocument/2006/relationships/hyperlink" Target="https://job-boards.greenhouse.io/ctccampusboard/jobs/4708230005" TargetMode="External"/><Relationship Id="rId501" Type="http://schemas.openxmlformats.org/officeDocument/2006/relationships/hyperlink" Target="https://simplify.jobs/p/b01f25b9-8381-471d-aca0-74c56a1709fe/Powertrain-Manufacturing-Automation-Controls-Engineering-Intern" TargetMode="External"/><Relationship Id="rId985" Type="http://schemas.openxmlformats.org/officeDocument/2006/relationships/hyperlink" Target="https://job-boards.greenhouse.io/chicagotradingcampus/jobs/4716932005" TargetMode="External"/><Relationship Id="rId500" Type="http://schemas.openxmlformats.org/officeDocument/2006/relationships/hyperlink" Target="https://www.tesla.com/careers/search/job/272601" TargetMode="External"/><Relationship Id="rId984" Type="http://schemas.openxmlformats.org/officeDocument/2006/relationships/hyperlink" Target="https://job-boards.greenhouse.io/ctccampusboard/jobs/4708188005" TargetMode="External"/><Relationship Id="rId507" Type="http://schemas.openxmlformats.org/officeDocument/2006/relationships/hyperlink" Target="https://lifeattiktok.com/search/7538301580093720840" TargetMode="External"/><Relationship Id="rId506" Type="http://schemas.openxmlformats.org/officeDocument/2006/relationships/hyperlink" Target="https://lifeattiktok.com/search/7667935738190465285" TargetMode="External"/><Relationship Id="rId505" Type="http://schemas.openxmlformats.org/officeDocument/2006/relationships/hyperlink" Target="https://www.tesla.com/careers/search/job/267767?jr_id=69dd6930bc6f6622c9912106" TargetMode="External"/><Relationship Id="rId989" Type="http://schemas.openxmlformats.org/officeDocument/2006/relationships/hyperlink" Target="https://job-boards.greenhouse.io/drweng/jobs/7997729" TargetMode="External"/><Relationship Id="rId504" Type="http://schemas.openxmlformats.org/officeDocument/2006/relationships/hyperlink" Target="https://www.tesla.com/careers/search/job/269792" TargetMode="External"/><Relationship Id="rId988" Type="http://schemas.openxmlformats.org/officeDocument/2006/relationships/hyperlink" Target="https://jobs.ashbyhq.com/deepgram/dc8693b5-72ce-4ca3-ab15-9c8434d35da1/application?embed=true" TargetMode="External"/><Relationship Id="rId1570" Type="http://schemas.openxmlformats.org/officeDocument/2006/relationships/hyperlink" Target="https://careers-axway.icims.com/jobs/8663/business-analytics-internship/job" TargetMode="External"/><Relationship Id="rId1571" Type="http://schemas.openxmlformats.org/officeDocument/2006/relationships/hyperlink" Target="https://campbellsoup.wd5.myworkdayjobs.com/en-US/externalcareers_globalsite/job/USA---NJ---Camden/Data-Science-Intern_Req-65845" TargetMode="External"/><Relationship Id="rId983" Type="http://schemas.openxmlformats.org/officeDocument/2006/relationships/hyperlink" Target="https://chevron.wd5.myworkdayjobs.com/University/job/Houston-Texas-United-States-of-America/XMLNAME-2026-2027-Information-Technology---Software-Engineer---Intern_R000072398-1" TargetMode="External"/><Relationship Id="rId1572" Type="http://schemas.openxmlformats.org/officeDocument/2006/relationships/hyperlink" Target="https://apply.workable.com/connectprep/j/E4655645B8/" TargetMode="External"/><Relationship Id="rId982" Type="http://schemas.openxmlformats.org/officeDocument/2006/relationships/hyperlink" Target="https://osv-cci.wd1.myworkdayjobs.com/en-US/CCICareers/job/Houston-TX/Commodities-Trading-Summer-Analyst-Internship-Program--Summer-2027-Internship-_R1333-1" TargetMode="External"/><Relationship Id="rId1573" Type="http://schemas.openxmlformats.org/officeDocument/2006/relationships/hyperlink" Target="https://copart.wd12.myworkdayjobs.com/Copart/job/Dallas-TX---Headquarters/Data-Engineering-Intern_JR110075" TargetMode="External"/><Relationship Id="rId981" Type="http://schemas.openxmlformats.org/officeDocument/2006/relationships/hyperlink" Target="https://jobs.lever.co/calstart/cbd0d758-18b0-481d-9e67-a065682f30ea/apply" TargetMode="External"/><Relationship Id="rId1574" Type="http://schemas.openxmlformats.org/officeDocument/2006/relationships/hyperlink" Target="https://jobs.lever.co/deuna/060457fb-42c4-4150-a8fa-e2c312a88e6a/apply" TargetMode="External"/><Relationship Id="rId980" Type="http://schemas.openxmlformats.org/officeDocument/2006/relationships/hyperlink" Target="https://cadence.wd1.myworkdayjobs.com/en-US/external_careers/job/SAN-JOSE/Software-Intern_R53282-1" TargetMode="External"/><Relationship Id="rId1575" Type="http://schemas.openxmlformats.org/officeDocument/2006/relationships/hyperlink" Target="https://careers-eastpennmanufacturing.icims.com/jobs/30007/data-engineering-intern/job" TargetMode="External"/><Relationship Id="rId1565" Type="http://schemas.openxmlformats.org/officeDocument/2006/relationships/hyperlink" Target="https://jobs.ashbyhq.com/base-power/b6b2332e-1226-4575-b2c9-9e5258f2540e" TargetMode="External"/><Relationship Id="rId1566" Type="http://schemas.openxmlformats.org/officeDocument/2006/relationships/hyperlink" Target="https://applyguy.ai/jobs?company=BlackEdge+Capital&amp;job=2cd125b1-a2c9-4d58-a3a5-0959e6d06406" TargetMode="External"/><Relationship Id="rId1567" Type="http://schemas.openxmlformats.org/officeDocument/2006/relationships/hyperlink" Target="https://cisecurity.wd1.myworkdayjobs.com/CIS_External_Career_Site/job/Remote/Security-Engineering-Intern---Remote_JR100204" TargetMode="External"/><Relationship Id="rId1568" Type="http://schemas.openxmlformats.org/officeDocument/2006/relationships/hyperlink" Target="https://alteryx.wd108.myworkdayjobs.com/AlteryxCareers/job/Irvine-California/Revenue-Operations--Insights---Analytics--Intern_R12175" TargetMode="External"/><Relationship Id="rId1569" Type="http://schemas.openxmlformats.org/officeDocument/2006/relationships/hyperlink" Target="https://assaabloy.jobs2web.com/job/New-Haven-IT-Intern-Security-Analytics-&amp;-Data-Management-CT-06511/1397886133/?ats=successfactors" TargetMode="External"/><Relationship Id="rId976" Type="http://schemas.openxmlformats.org/officeDocument/2006/relationships/hyperlink" Target="https://boeing.wd1.myworkdayjobs.com/EXTERNAL_CAREERS/job/USA---Seattle-WA/Boeing-Summer-2027-Internship-Program--Paid----Quality-Engineering-Intern_JR2026520439-1" TargetMode="External"/><Relationship Id="rId975" Type="http://schemas.openxmlformats.org/officeDocument/2006/relationships/hyperlink" Target="https://applyguy.ai/jobs?company=Axon&amp;job=810af19f-a0e7-4535-8142-b4863f8c0ad7" TargetMode="External"/><Relationship Id="rId974" Type="http://schemas.openxmlformats.org/officeDocument/2006/relationships/hyperlink" Target="https://job-boards.greenhouse.io/axontalentcommunity/jobs/7800632003" TargetMode="External"/><Relationship Id="rId973" Type="http://schemas.openxmlformats.org/officeDocument/2006/relationships/hyperlink" Target="https://arrowstreetcapital.wd5.myworkdayjobs.com/Campus_Careers/job/Boston/Quantitative-Researcher-Intern--Summer-2027_R1505" TargetMode="External"/><Relationship Id="rId979" Type="http://schemas.openxmlformats.org/officeDocument/2006/relationships/hyperlink" Target="https://cadence.wd1.myworkdayjobs.com/Univ_Careers/job/PITTSBURGH-03/Software-Engineering-Intern_R52334-2" TargetMode="External"/><Relationship Id="rId978" Type="http://schemas.openxmlformats.org/officeDocument/2006/relationships/hyperlink" Target="https://jobs.smartrecruiters.com/BoschGroup/744000141334799" TargetMode="External"/><Relationship Id="rId977" Type="http://schemas.openxmlformats.org/officeDocument/2006/relationships/hyperlink" Target="https://jobs.smartrecruiters.com/BoschGroup/744000140089589-powertrain-controls-software-engineering-intern-6-months-?oga=true" TargetMode="External"/><Relationship Id="rId1560" Type="http://schemas.openxmlformats.org/officeDocument/2006/relationships/hyperlink" Target="https://sedgwick.wd1.myworkdayjobs.com/en-US/sedgwick/job/Telecommuter-TX/Data-Analyst_R75316" TargetMode="External"/><Relationship Id="rId972" Type="http://schemas.openxmlformats.org/officeDocument/2006/relationships/hyperlink" Target="https://arrowstreetcapital.wd5.myworkdayjobs.com/Campus_Careers/job/Boston/Quantitative-Developer-Intern--Summer-2027_R1506" TargetMode="External"/><Relationship Id="rId1561" Type="http://schemas.openxmlformats.org/officeDocument/2006/relationships/hyperlink" Target="https://apply.workable.com/tmeic-corporation-americas/j/FD4C9770FF/" TargetMode="External"/><Relationship Id="rId971" Type="http://schemas.openxmlformats.org/officeDocument/2006/relationships/hyperlink" Target="https://job-boards.greenhouse.io/aquaticcapitalmanagement/jobs/8489186002" TargetMode="External"/><Relationship Id="rId1562" Type="http://schemas.openxmlformats.org/officeDocument/2006/relationships/hyperlink" Target="https://www.zipline.com/open-roles?gh_jid=7765240003" TargetMode="External"/><Relationship Id="rId970" Type="http://schemas.openxmlformats.org/officeDocument/2006/relationships/hyperlink" Target="https://boards.greenhouse.io/andurilindustries/jobs/5148079007?gh_jid=5148079007" TargetMode="External"/><Relationship Id="rId1563" Type="http://schemas.openxmlformats.org/officeDocument/2006/relationships/hyperlink" Target="https://www.zipline.com/open-roles?gh_jid=7786445003" TargetMode="External"/><Relationship Id="rId1564" Type="http://schemas.openxmlformats.org/officeDocument/2006/relationships/hyperlink" Target="https://argonne.wd1.myworkdayjobs.com/EDU_PUB/job/Lemont-IL-USA/Business-Systems-Administration-Internship_413528" TargetMode="External"/><Relationship Id="rId1114" Type="http://schemas.openxmlformats.org/officeDocument/2006/relationships/hyperlink" Target="https://jobs.ashbyhq.com/rivianvw.tech/14734be2-9c81-4aab-bfa6-7dbbe95c94a6" TargetMode="External"/><Relationship Id="rId1598" Type="http://schemas.openxmlformats.org/officeDocument/2006/relationships/hyperlink" Target="https://mksinst.wd1.myworkdayjobs.com/MKSCareersUniversity/job/Irvine-CA/Fall-2026-Technical-Product-Marketing-Undergraduate-Intern_R21428" TargetMode="External"/><Relationship Id="rId1115" Type="http://schemas.openxmlformats.org/officeDocument/2006/relationships/hyperlink" Target="https://jobs.ashbyhq.com/rivianvw.tech/3f314ca7-978e-4ad6-b527-0487a9a9598c/application" TargetMode="External"/><Relationship Id="rId1599" Type="http://schemas.openxmlformats.org/officeDocument/2006/relationships/hyperlink" Target="https://mosaic.wd5.myworkdayjobs.com/mosaic/job/US---Tampa-FL-Lithia-area/Informational-Technology-Co-Op-Intern---Spring-2027_64413" TargetMode="External"/><Relationship Id="rId1116" Type="http://schemas.openxmlformats.org/officeDocument/2006/relationships/hyperlink" Target="https://jobs.ashbyhq.com/rivianvw.tech/50e43cbe-01ea-4b8b-be4c-bb5f48a2be92/application" TargetMode="External"/><Relationship Id="rId1117" Type="http://schemas.openxmlformats.org/officeDocument/2006/relationships/hyperlink" Target="https://jobs.ashbyhq.com/rivianvw.tech/89feb2fe-c28c-4dad-846f-09594632ba55" TargetMode="External"/><Relationship Id="rId1118" Type="http://schemas.openxmlformats.org/officeDocument/2006/relationships/hyperlink" Target="https://jobs.ashbyhq.com/tryroam/59b76a77-44e5-424b-a3d5-71edf091869c/application?embed=true" TargetMode="External"/><Relationship Id="rId1119" Type="http://schemas.openxmlformats.org/officeDocument/2006/relationships/hyperlink" Target="https://www.sandhills.com/careers-and-internships/details/careers/sandhills/1196/software-development-intern" TargetMode="External"/><Relationship Id="rId525" Type="http://schemas.openxmlformats.org/officeDocument/2006/relationships/hyperlink" Target="https://www.deshaw.com/careers/5891" TargetMode="External"/><Relationship Id="rId524" Type="http://schemas.openxmlformats.org/officeDocument/2006/relationships/hyperlink" Target="https://www.deshaw.com/careers/5906" TargetMode="External"/><Relationship Id="rId523" Type="http://schemas.openxmlformats.org/officeDocument/2006/relationships/hyperlink" Target="https://jobs.citi.com/job/new-york/markets-quantitative-analysis-summer-analyst-new-york-city-us-2027/287/89809477472" TargetMode="External"/><Relationship Id="rId522" Type="http://schemas.openxmlformats.org/officeDocument/2006/relationships/hyperlink" Target="https://jobs.eu.lever.co/cirrus/3d6df577-91f6-4b58-9e7f-c982e49ff515/apply" TargetMode="External"/><Relationship Id="rId529" Type="http://schemas.openxmlformats.org/officeDocument/2006/relationships/hyperlink" Target="https://apply.careers.microsoft.com/careers/job/1970393556922931" TargetMode="External"/><Relationship Id="rId528" Type="http://schemas.openxmlformats.org/officeDocument/2006/relationships/hyperlink" Target="https://www.jumptrading.com/hr/job?gh_jid=7848371" TargetMode="External"/><Relationship Id="rId527" Type="http://schemas.openxmlformats.org/officeDocument/2006/relationships/hyperlink" Target="https://jobs.ashbyhq.com/etched/27e5bd6b-9357-45f0-9e79-cfa2bf4eeba8" TargetMode="External"/><Relationship Id="rId526" Type="http://schemas.openxmlformats.org/officeDocument/2006/relationships/hyperlink" Target="https://www.deshaw.com/careers/5890" TargetMode="External"/><Relationship Id="rId1590" Type="http://schemas.openxmlformats.org/officeDocument/2006/relationships/hyperlink" Target="https://vanguard.wd5.myworkdayjobs.com/en-US/contractors_restricted/job/Charlotte-NC/College-to-Corporate-IT-Internship---Data-Science--NC-_177682" TargetMode="External"/><Relationship Id="rId1591" Type="http://schemas.openxmlformats.org/officeDocument/2006/relationships/hyperlink" Target="https://vanguard.wd5.myworkdayjobs.com/en-US/contractors_restricted/job/Malvern-PA/College-to-Corporate-IT-Internship---Data-Science--PA-_177680" TargetMode="External"/><Relationship Id="rId1592" Type="http://schemas.openxmlformats.org/officeDocument/2006/relationships/hyperlink" Target="https://pae.wd1.myworkdayjobs.com/en-US/amentum_careers/job/US-TX-Houston/Fall-2026---Spaceflight-Hardware-Intern_R0166096" TargetMode="External"/><Relationship Id="rId1593" Type="http://schemas.openxmlformats.org/officeDocument/2006/relationships/hyperlink" Target="https://jobs.eu.lever.co/cirrus/2926421c-691a-434a-ae59-c828e7fcbf5b" TargetMode="External"/><Relationship Id="rId521" Type="http://schemas.openxmlformats.org/officeDocument/2006/relationships/hyperlink" Target="https://jobs.lever.co/aisafety/e011814b-9a80-43d6-bb0c-cc153ea4bec4" TargetMode="External"/><Relationship Id="rId1110" Type="http://schemas.openxmlformats.org/officeDocument/2006/relationships/hyperlink" Target="https://boards.greenhouse.io/redwoodmaterials/jobs/6126785004?gh_jid=6126785004" TargetMode="External"/><Relationship Id="rId1594" Type="http://schemas.openxmlformats.org/officeDocument/2006/relationships/hyperlink" Target="https://jobs.ashbyhq.com/fab2/de448098-ffc6-4b99-b341-d6a5874f390f/application" TargetMode="External"/><Relationship Id="rId520" Type="http://schemas.openxmlformats.org/officeDocument/2006/relationships/hyperlink" Target="https://bmo.wd3.myworkdayjobs.com/Privileged/job/Chicago-IL-USA/Machine-Learning-Intern--Fall-2026--Internship----4-months_R260014372" TargetMode="External"/><Relationship Id="rId1111" Type="http://schemas.openxmlformats.org/officeDocument/2006/relationships/hyperlink" Target="https://job-boards.greenhouse.io/rendezvousrobotics/jobs/4328555009" TargetMode="External"/><Relationship Id="rId1595" Type="http://schemas.openxmlformats.org/officeDocument/2006/relationships/hyperlink" Target="https://jobs.jobvite.com/inogen/job/om2zAfwh" TargetMode="External"/><Relationship Id="rId1112" Type="http://schemas.openxmlformats.org/officeDocument/2006/relationships/hyperlink" Target="https://aveva.wd3.myworkdayjobs.com/RIB_Careers/job/Alpharetta-Georgia-United-States-of-America/Software-Engineering-Intern_R013997" TargetMode="External"/><Relationship Id="rId1596" Type="http://schemas.openxmlformats.org/officeDocument/2006/relationships/hyperlink" Target="https://jpmc.fa.oraclecloud.com/hcmUI/CandidateExperience/en/sites/CX_1001/job/210765749" TargetMode="External"/><Relationship Id="rId1113" Type="http://schemas.openxmlformats.org/officeDocument/2006/relationships/hyperlink" Target="https://jobs.ashbyhq.com/rivianvw.tech/5633bb03-cc16-47fc-af02-db9dc355eddd/application" TargetMode="External"/><Relationship Id="rId1597" Type="http://schemas.openxmlformats.org/officeDocument/2006/relationships/hyperlink" Target="https://hcor.fa.us2.oraclecloud.com/hcmUI/CandidateExperience/en/sites/CX_1/job/4333" TargetMode="External"/><Relationship Id="rId1103" Type="http://schemas.openxmlformats.org/officeDocument/2006/relationships/hyperlink" Target="https://app.dover.com/apply/mindsmith/e0ca8149-6811-4de9-ba38-65a0244a2b7e" TargetMode="External"/><Relationship Id="rId1587" Type="http://schemas.openxmlformats.org/officeDocument/2006/relationships/hyperlink" Target="https://pnc.wd5.myworkdayjobs.com/External/job/PA---Pittsburgh-15222/Data--Modeling--and-Analytics-Undergraduate-Intern_R231526-1" TargetMode="External"/><Relationship Id="rId1104" Type="http://schemas.openxmlformats.org/officeDocument/2006/relationships/hyperlink" Target="https://ats.rippling.com/greengas/jobs/b2938290-cc66-4f54-9888-bbe286c1d9b6" TargetMode="External"/><Relationship Id="rId1588" Type="http://schemas.openxmlformats.org/officeDocument/2006/relationships/hyperlink" Target="https://careers.tranetechnologies.com/global/en/job/JR-4222" TargetMode="External"/><Relationship Id="rId1105" Type="http://schemas.openxmlformats.org/officeDocument/2006/relationships/hyperlink" Target="https://nrel.wd5.myworkdayjobs.com/NLR/job/Golden-CO/Undergraduate-graduate-intern---software-and-data-infrastructure-for-autonomous-thin-film-experimentation--Year-Round-_R14394" TargetMode="External"/><Relationship Id="rId1589" Type="http://schemas.openxmlformats.org/officeDocument/2006/relationships/hyperlink" Target="https://vanguard.wd5.myworkdayjobs.com/en-US/contractors_restricted/job/Charlotte-NC/College-to-Corporate-IT-Internship---Data-Analyst--NC-_177677" TargetMode="External"/><Relationship Id="rId1106" Type="http://schemas.openxmlformats.org/officeDocument/2006/relationships/hyperlink" Target="https://ats.rippling.com/neosigma/jobs/a2ee1d26-a551-45d2-9854-6dbf8ed2c866" TargetMode="External"/><Relationship Id="rId1107" Type="http://schemas.openxmlformats.org/officeDocument/2006/relationships/hyperlink" Target="https://novanta.wd5.myworkdayjobs.com/Novanta-Careers/job/Apex-NC/Engineering-Co-op_R009487" TargetMode="External"/><Relationship Id="rId1108" Type="http://schemas.openxmlformats.org/officeDocument/2006/relationships/hyperlink" Target="https://jobs.ashbyhq.com/persona.ai/6078fafd-ba34-4c89-b260-7eb15be3cb9c/application" TargetMode="External"/><Relationship Id="rId1109" Type="http://schemas.openxmlformats.org/officeDocument/2006/relationships/hyperlink" Target="https://jobs.ashbyhq.com/phonely/c83696cb-ca3a-4a9d-9e87-bfcf4f79fef5/application?embed=true" TargetMode="External"/><Relationship Id="rId519" Type="http://schemas.openxmlformats.org/officeDocument/2006/relationships/hyperlink" Target="https://jobs.ashbyhq.com/bild-ai/b333f0f7-0ca6-4509-8697-9303396b5364/application?embed=true" TargetMode="External"/><Relationship Id="rId514" Type="http://schemas.openxmlformats.org/officeDocument/2006/relationships/hyperlink" Target="https://joinbytedance.com/search/7668373268886161669" TargetMode="External"/><Relationship Id="rId998" Type="http://schemas.openxmlformats.org/officeDocument/2006/relationships/hyperlink" Target="https://intel.wd1.myworkdayjobs.com/External/job/US-Texas-Austin/SOC-Design-Engineering-Intern_JR0280615" TargetMode="External"/><Relationship Id="rId513" Type="http://schemas.openxmlformats.org/officeDocument/2006/relationships/hyperlink" Target="https://jobs.bytedance.com/en/position/7533369475380070663/detail" TargetMode="External"/><Relationship Id="rId997" Type="http://schemas.openxmlformats.org/officeDocument/2006/relationships/hyperlink" Target="https://job-boards.eu.greenhouse.io/imc/jobs/4823945101" TargetMode="External"/><Relationship Id="rId512" Type="http://schemas.openxmlformats.org/officeDocument/2006/relationships/hyperlink" Target="https://lifeattiktok.com/search/7561941583777941813" TargetMode="External"/><Relationship Id="rId996" Type="http://schemas.openxmlformats.org/officeDocument/2006/relationships/hyperlink" Target="https://job-boards.greenhouse.io/hyannisportresearch/jobs/7822989003" TargetMode="External"/><Relationship Id="rId511" Type="http://schemas.openxmlformats.org/officeDocument/2006/relationships/hyperlink" Target="https://jobs.bytedance.com/en/position/7669774721406208261/detail" TargetMode="External"/><Relationship Id="rId995" Type="http://schemas.openxmlformats.org/officeDocument/2006/relationships/hyperlink" Target="https://applyguy.ai/jobs?company=Haier&amp;job=020f5de0-997a-49f5-93b0-82c6330419d8" TargetMode="External"/><Relationship Id="rId518" Type="http://schemas.openxmlformats.org/officeDocument/2006/relationships/hyperlink" Target="https://job-boards.greenhouse.io/argmax/jobs/4067268009" TargetMode="External"/><Relationship Id="rId517" Type="http://schemas.openxmlformats.org/officeDocument/2006/relationships/hyperlink" Target="https://lifeattiktok.com/search/7624284785283746053" TargetMode="External"/><Relationship Id="rId516" Type="http://schemas.openxmlformats.org/officeDocument/2006/relationships/hyperlink" Target="https://lifeattiktok.com/search/7668921505254410549" TargetMode="External"/><Relationship Id="rId515" Type="http://schemas.openxmlformats.org/officeDocument/2006/relationships/hyperlink" Target="https://lifeattiktok.com/search/7667935739300317493" TargetMode="External"/><Relationship Id="rId999" Type="http://schemas.openxmlformats.org/officeDocument/2006/relationships/hyperlink" Target="https://johndeere.eightfold.ai/careers/job/137481393611" TargetMode="External"/><Relationship Id="rId990" Type="http://schemas.openxmlformats.org/officeDocument/2006/relationships/hyperlink" Target="https://dukeenergy.wd1.myworkdayjobs.com/nosearch/job/Charlotte-NC/Associate-IT-Software-Engineer-Intern--Co-op-Conversion-2027_R40759" TargetMode="External"/><Relationship Id="rId1580" Type="http://schemas.openxmlformats.org/officeDocument/2006/relationships/hyperlink" Target="https://job-boards.greenhouse.io/integrainterns/jobs/5134523008" TargetMode="External"/><Relationship Id="rId1581" Type="http://schemas.openxmlformats.org/officeDocument/2006/relationships/hyperlink" Target="https://jmfamily.wd1.myworkdayjobs.com/en-US/jmfamily_external/job/Florida---Deerfield-Beach/Fixed-Operations-Data-Analyst-Intern_JR104254" TargetMode="External"/><Relationship Id="rId1582" Type="http://schemas.openxmlformats.org/officeDocument/2006/relationships/hyperlink" Target="https://careers-magnera.icims.com/jobs/27241/it-data-analyst-intern/job" TargetMode="External"/><Relationship Id="rId510" Type="http://schemas.openxmlformats.org/officeDocument/2006/relationships/hyperlink" Target="https://jobs.bytedance.com/en/position/7537152632018012424/detail" TargetMode="External"/><Relationship Id="rId994" Type="http://schemas.openxmlformats.org/officeDocument/2006/relationships/hyperlink" Target="https://gdit.wd5.myworkdayjobs.com/external_career_site/job/USA-MD-Annapolis-Junction/Summer-2027-Software-Developer-Internship_RQ225450-1" TargetMode="External"/><Relationship Id="rId1583" Type="http://schemas.openxmlformats.org/officeDocument/2006/relationships/hyperlink" Target="https://marmon.wd501.myworkdayjobs.com/Marmon_MSIP_Internships/job/Milwaukee-WI/Data-Engineering-Intern-OR-Student-Co-Op_JR0000037453" TargetMode="External"/><Relationship Id="rId993" Type="http://schemas.openxmlformats.org/officeDocument/2006/relationships/hyperlink" Target="https://haier.wd3.myworkdayjobs.com/ge_appliances/job/USA-Louisville-KY/Software-Engineering-Co-op-Summer-2027_REQ-26427" TargetMode="External"/><Relationship Id="rId1100" Type="http://schemas.openxmlformats.org/officeDocument/2006/relationships/hyperlink" Target="https://jobs.ashbyhq.com/mach/021b2c1d-5257-4dea-b06d-0c445de44d28" TargetMode="External"/><Relationship Id="rId1584" Type="http://schemas.openxmlformats.org/officeDocument/2006/relationships/hyperlink" Target="https://gaig.wd1.myworkdayjobs.com/GAIG_External/job/Cincinnati-OH-USA/Business-Analyst-Intern_R9037" TargetMode="External"/><Relationship Id="rId992" Type="http://schemas.openxmlformats.org/officeDocument/2006/relationships/hyperlink" Target="https://haier.wd3.myworkdayjobs.com/ge_appliances/job/USA-LaFayette-GA/Engineering-Co-op-Summer-2027_REQ-26431" TargetMode="External"/><Relationship Id="rId1101" Type="http://schemas.openxmlformats.org/officeDocument/2006/relationships/hyperlink" Target="https://careers.dovercorporation.com/job/Keene-Software-Engineer-Intern-NH-03431/1404722033" TargetMode="External"/><Relationship Id="rId1585" Type="http://schemas.openxmlformats.org/officeDocument/2006/relationships/hyperlink" Target="https://neighborlybrands.wd1.myworkdayjobs.com/neighborly/job/Irving-TX/Business-Analyst-Internship_JR0003841-1" TargetMode="External"/><Relationship Id="rId991" Type="http://schemas.openxmlformats.org/officeDocument/2006/relationships/hyperlink" Target="https://applyguy.ai/jobs?company=GDIT&amp;job=217eb72e-34e6-4f50-884c-2bc9285fbcaa" TargetMode="External"/><Relationship Id="rId1102" Type="http://schemas.openxmlformats.org/officeDocument/2006/relationships/hyperlink" Target="https://wd5.myworkdaysite.com/recruiting/microchiphr/External/job/TX---Houston---Compaq-Center-Dr/Intern-Engineering--Software-Development-_R3371-26" TargetMode="External"/><Relationship Id="rId1586" Type="http://schemas.openxmlformats.org/officeDocument/2006/relationships/hyperlink" Target="https://jobs.smartrecruiters.com/NorthwesternMutual/85751677" TargetMode="External"/><Relationship Id="rId1532" Type="http://schemas.openxmlformats.org/officeDocument/2006/relationships/hyperlink" Target="https://hcgn.fa.us2.oraclecloud.com/hcmUI/CandidateExperience/en/sites/CX_1/job/46439" TargetMode="External"/><Relationship Id="rId1533" Type="http://schemas.openxmlformats.org/officeDocument/2006/relationships/hyperlink" Target="https://jobs.smartrecruiters.com/Eurofins/744000131132249" TargetMode="External"/><Relationship Id="rId1534" Type="http://schemas.openxmlformats.org/officeDocument/2006/relationships/hyperlink" Target="https://job-boards.greenhouse.io/evolver/jobs/4254540009" TargetMode="External"/><Relationship Id="rId1535" Type="http://schemas.openxmlformats.org/officeDocument/2006/relationships/hyperlink" Target="https://boards.greenhouse.io/faire/jobs/8376377002?gh_jid=8376377002" TargetMode="External"/><Relationship Id="rId1536" Type="http://schemas.openxmlformats.org/officeDocument/2006/relationships/hyperlink" Target="https://firstquality.wd5.myworkdayjobs.com/firstquality/job/US-SC-Anderson/INTERN-OR-CO-OP---Analytics-Engineer_R9813" TargetMode="External"/><Relationship Id="rId1537" Type="http://schemas.openxmlformats.org/officeDocument/2006/relationships/hyperlink" Target="https://gfs.wd5.myworkdayjobs.com/usjobs-gen-gfs/job/Atlanta-Georgia/Data-Engineer-Internship_R-42918" TargetMode="External"/><Relationship Id="rId1538" Type="http://schemas.openxmlformats.org/officeDocument/2006/relationships/hyperlink" Target="https://job-boards.greenhouse.io/harbingermotors/jobs/5164341007" TargetMode="External"/><Relationship Id="rId1539" Type="http://schemas.openxmlformats.org/officeDocument/2006/relationships/hyperlink" Target="https://idexx.wd1.myworkdayjobs.com/IDEXX/job/Westbrook-ME/Data-Engineer---Incentive-Compensation-Co-Op_J-053500" TargetMode="External"/><Relationship Id="rId949" Type="http://schemas.openxmlformats.org/officeDocument/2006/relationships/hyperlink" Target="https://globalhr.wd5.myworkdayjobs.com/fr-CA/Private_Posting_No_TMP/job/US-TX-REMOTE/Software-Engineering--Intern--Summer-2027-_01863749" TargetMode="External"/><Relationship Id="rId948" Type="http://schemas.openxmlformats.org/officeDocument/2006/relationships/hyperlink" Target="https://applyguy.ai/jobs?company=RTX&amp;job=7502e13a-2c2b-4b32-a35e-754693fecccb" TargetMode="External"/><Relationship Id="rId943" Type="http://schemas.openxmlformats.org/officeDocument/2006/relationships/hyperlink" Target="https://job-boards.greenhouse.io/pdtpartners/jobs/8083292" TargetMode="External"/><Relationship Id="rId942" Type="http://schemas.openxmlformats.org/officeDocument/2006/relationships/hyperlink" Target="https://builtin.com/job/summer-2027-software-engineering-intern/10378388" TargetMode="External"/><Relationship Id="rId941" Type="http://schemas.openxmlformats.org/officeDocument/2006/relationships/hyperlink" Target="https://www.flowtraders.com/careers/job-description/8047166" TargetMode="External"/><Relationship Id="rId940" Type="http://schemas.openxmlformats.org/officeDocument/2006/relationships/hyperlink" Target="https://job-boards.greenhouse.io/fiveringsllc/jobs/5349219008" TargetMode="External"/><Relationship Id="rId947" Type="http://schemas.openxmlformats.org/officeDocument/2006/relationships/hyperlink" Target="https://pru.wd5.myworkdayjobs.com/Careers/job/Newark-NJ-USA/PGIM--2027-Real-Estate--Equity-Summer-Investment-Analyst-Program_R-124634-2" TargetMode="External"/><Relationship Id="rId946" Type="http://schemas.openxmlformats.org/officeDocument/2006/relationships/hyperlink" Target="https://pru.wd5.myworkdayjobs.com/Careers/job/Newark-NJ-USA/PGIM--2027-Private-Credit--Summer-Investment-Analyst-Program_R-124649-1" TargetMode="External"/><Relationship Id="rId945" Type="http://schemas.openxmlformats.org/officeDocument/2006/relationships/hyperlink" Target="https://pru.wd5.myworkdayjobs.com/pgim_careers/job/Newark-NJ-USA/PGIM--2027-Real-Estate--Equity-Summer-Investment-Analyst-Program_R-124634" TargetMode="External"/><Relationship Id="rId944" Type="http://schemas.openxmlformats.org/officeDocument/2006/relationships/hyperlink" Target="https://pru.wd5.myworkdayjobs.com/pgim_careers/job/Newark-NJ-USA/PGIM--2027-Private-Credit--Summer-Investment-Analyst-Program_R-124649" TargetMode="External"/><Relationship Id="rId1530" Type="http://schemas.openxmlformats.org/officeDocument/2006/relationships/hyperlink" Target="https://campbellsoup.wd5.myworkdayjobs.com/en-US/externalcareers_globalsite/job/USA---NJ---Camden/Data-Engineer---Operational-Support--Co-op-_Req-65842" TargetMode="External"/><Relationship Id="rId1531" Type="http://schemas.openxmlformats.org/officeDocument/2006/relationships/hyperlink" Target="https://jobs.ashbyhq.com/centerfield/916dcf42-d69a-4f00-875a-f8fe630e0f33/application" TargetMode="External"/><Relationship Id="rId1521" Type="http://schemas.openxmlformats.org/officeDocument/2006/relationships/hyperlink" Target="https://job-boards.greenhouse.io/queracomputinginc/jobs/5378366008" TargetMode="External"/><Relationship Id="rId1522" Type="http://schemas.openxmlformats.org/officeDocument/2006/relationships/hyperlink" Target="https://jobs.smartrecruiters.com/RedBull/744000139168339" TargetMode="External"/><Relationship Id="rId1523" Type="http://schemas.openxmlformats.org/officeDocument/2006/relationships/hyperlink" Target="https://job-boards.greenhouse.io/toshibaglobalcommercesolutions/jobs/5195802007" TargetMode="External"/><Relationship Id="rId1524" Type="http://schemas.openxmlformats.org/officeDocument/2006/relationships/hyperlink" Target="https://disney.wd5.myworkdayjobs.com/en-US/disneycareer/job/Lake-Buena-Vista-FL-USA/Commercial-Data-Science-Intern--Fall-2026_10154154" TargetMode="External"/><Relationship Id="rId1525" Type="http://schemas.openxmlformats.org/officeDocument/2006/relationships/hyperlink" Target="https://warnerbros.wd5.myworkdayjobs.com/global/job/GA-Atlanta-1050-Techwood-Drive-NW/Sports-Growth-Strategy-and-Data-Internships--ATL---Fall-2026_R000107173" TargetMode="External"/><Relationship Id="rId1526" Type="http://schemas.openxmlformats.org/officeDocument/2006/relationships/hyperlink" Target="https://jobs.ashbyhq.com/Zello/3453d476-7b75-4938-8cff-502d1575859b/application" TargetMode="External"/><Relationship Id="rId1527" Type="http://schemas.openxmlformats.org/officeDocument/2006/relationships/hyperlink" Target="https://jobs.ashbyhq.com/zuru/750dea66-6f5a-4622-80d6-b6289954d3d0/application" TargetMode="External"/><Relationship Id="rId1528" Type="http://schemas.openxmlformats.org/officeDocument/2006/relationships/hyperlink" Target="https://bdx.wd1.myworkdayjobs.com/EXTERNAL_CAREER_SITE_USA/job/USA-MD---Sparks---7-Loveton-Circle/Business-Data-Analytics-Intern--Channel-Coverage_R-544035" TargetMode="External"/><Relationship Id="rId1529" Type="http://schemas.openxmlformats.org/officeDocument/2006/relationships/hyperlink" Target="https://bdx.wd1.myworkdayjobs.com/EXTERNAL_CAREER_SITE_USA/job/USA-NC---Durham---Roche-Drive/Quality-Analytics-Engineering-Intern_R-544433" TargetMode="External"/><Relationship Id="rId939" Type="http://schemas.openxmlformats.org/officeDocument/2006/relationships/hyperlink" Target="https://cmegroup.wd1.myworkdayjobs.com/en-US/cme_careers/job/New-York---300-Vesey-Street/Quant-Risk-Management-Intern---Year-Round_34278" TargetMode="External"/><Relationship Id="rId938" Type="http://schemas.openxmlformats.org/officeDocument/2006/relationships/hyperlink" Target="https://cadence.wd1.myworkdayjobs.com/en-US/external_careers/job/HOME-MI/Intern-Software-Engineering_R53788" TargetMode="External"/><Relationship Id="rId937" Type="http://schemas.openxmlformats.org/officeDocument/2006/relationships/hyperlink" Target="https://emit.fa.ca3.oraclecloud.com/hcmUI/CandidateExperience/en/sites/CX_2001/job/86808" TargetMode="External"/><Relationship Id="rId932" Type="http://schemas.openxmlformats.org/officeDocument/2006/relationships/hyperlink" Target="https://ro.careers.tsmc.com/job/Phoenix-Summer-2027-TSMC-AZ-Internship-Opportunities-Engineering-Roles-AZ-85001/1361003166/" TargetMode="External"/><Relationship Id="rId931" Type="http://schemas.openxmlformats.org/officeDocument/2006/relationships/hyperlink" Target="https://jobs.bytedance.com/en/position/7667876489597257989" TargetMode="External"/><Relationship Id="rId930" Type="http://schemas.openxmlformats.org/officeDocument/2006/relationships/hyperlink" Target="https://job-boards.greenhouse.io/thetradedesk/jobs/5187605007" TargetMode="External"/><Relationship Id="rId936" Type="http://schemas.openxmlformats.org/officeDocument/2006/relationships/hyperlink" Target="https://egup.fa.us2.oraclecloud.com/hcmUI/CandidateExperience/en/sites/CX/job/20278512" TargetMode="External"/><Relationship Id="rId935" Type="http://schemas.openxmlformats.org/officeDocument/2006/relationships/hyperlink" Target="https://job-boards.eu.greenhouse.io/veeamsoftware/jobs/4857828101" TargetMode="External"/><Relationship Id="rId934" Type="http://schemas.openxmlformats.org/officeDocument/2006/relationships/hyperlink" Target="https://uline.wd1.myworkdayjobs.com/en-US/Uline_Careers/job/Pleasant-Prairie-WI/Software-Development-Internship---Summer-2027_R265684" TargetMode="External"/><Relationship Id="rId933" Type="http://schemas.openxmlformats.org/officeDocument/2006/relationships/hyperlink" Target="https://uline.wd1.myworkdayjobs.com/Uline_Careers/job/Pleasant-Prairie-WI/Network-Engineer-Internship---Summer-2027_R265689" TargetMode="External"/><Relationship Id="rId1520" Type="http://schemas.openxmlformats.org/officeDocument/2006/relationships/hyperlink" Target="https://gaig.wd1.myworkdayjobs.com/GAIG_External/job/Cincinnati-OH-USA/Catastrophe-Modeling---Data-Analytics-Intern--Fall-2026-_R9102" TargetMode="External"/><Relationship Id="rId1554" Type="http://schemas.openxmlformats.org/officeDocument/2006/relationships/hyperlink" Target="https://careers.formlabs.com/job/8097694/apply/?gh_jid=8097694" TargetMode="External"/><Relationship Id="rId1555" Type="http://schemas.openxmlformats.org/officeDocument/2006/relationships/hyperlink" Target="https://lego.wd103.myworkdayjobs.com/en-US/lego_executive/job/Boston-Hub/Firmware-Engineering-Intern_0000031568" TargetMode="External"/><Relationship Id="rId1556" Type="http://schemas.openxmlformats.org/officeDocument/2006/relationships/hyperlink" Target="https://lego.wd103.myworkdayjobs.com/lego_executive/job/Boston-Hub/Firmware-Engineering-Intern_0000031568" TargetMode="External"/><Relationship Id="rId1557" Type="http://schemas.openxmlformats.org/officeDocument/2006/relationships/hyperlink" Target="https://wd5.myworkdaysite.com/recruiting/microchiphr/External/job/AZ---Chandler/Intern--Engineering--Product-Engineering-_R3151-26-1" TargetMode="External"/><Relationship Id="rId1558" Type="http://schemas.openxmlformats.org/officeDocument/2006/relationships/hyperlink" Target="https://fa-evmr-saasfaprod1.fa.ocs.oraclecloud.com/hcmUI/CandidateExperience/en/sites/CX_1/job/35743" TargetMode="External"/><Relationship Id="rId1559" Type="http://schemas.openxmlformats.org/officeDocument/2006/relationships/hyperlink" Target="http://prizepicks.com/position?gh_jid=7753475003" TargetMode="External"/><Relationship Id="rId965" Type="http://schemas.openxmlformats.org/officeDocument/2006/relationships/hyperlink" Target="https://applyguy.ai/jobs?company=SHOPLINE&amp;job=f61af636-e073-4bfe-893c-d43ca66b4f36" TargetMode="External"/><Relationship Id="rId964" Type="http://schemas.openxmlformats.org/officeDocument/2006/relationships/hyperlink" Target="https://jobs.ashbyhq.com/xterra%20ai/bc481f5a-3365-4048-8533-0c7728db512b" TargetMode="External"/><Relationship Id="rId963" Type="http://schemas.openxmlformats.org/officeDocument/2006/relationships/hyperlink" Target="https://usnh.wd5.myworkdayjobs.com/Careers/job/University-of-New-Hampshire--Main-Campus/Research-Assistant---Keesee_JR8977" TargetMode="External"/><Relationship Id="rId962" Type="http://schemas.openxmlformats.org/officeDocument/2006/relationships/hyperlink" Target="https://job-boards.greenhouse.io/scm/jobs/721895" TargetMode="External"/><Relationship Id="rId969" Type="http://schemas.openxmlformats.org/officeDocument/2006/relationships/hyperlink" Target="https://www.akunacapital.com/careers/job/8018880/?gh_jid=8018880" TargetMode="External"/><Relationship Id="rId968" Type="http://schemas.openxmlformats.org/officeDocument/2006/relationships/hyperlink" Target="https://job-boards.greenhouse.io/verkada/jobs/4321159007" TargetMode="External"/><Relationship Id="rId967" Type="http://schemas.openxmlformats.org/officeDocument/2006/relationships/hyperlink" Target="https://utaustin.wd1.myworkdayjobs.com/utstudent/job/UT-MAIN-CAMPUS/Video-and-Analytics-Intern--Baseball_R_00047706" TargetMode="External"/><Relationship Id="rId966" Type="http://schemas.openxmlformats.org/officeDocument/2006/relationships/hyperlink" Target="https://job-boards.greenhouse.io/togetherai/jobs/5157661007" TargetMode="External"/><Relationship Id="rId961" Type="http://schemas.openxmlformats.org/officeDocument/2006/relationships/hyperlink" Target="https://applyguy.ai/jobs?company=Stellar+Science&amp;job=826da19e-e120-4dd8-94a2-a05ebd2df779" TargetMode="External"/><Relationship Id="rId1550" Type="http://schemas.openxmlformats.org/officeDocument/2006/relationships/hyperlink" Target="https://careers-berkley.icims.com/jobs/13507/job?mobile=true&amp;needsRedirect=false" TargetMode="External"/><Relationship Id="rId960" Type="http://schemas.openxmlformats.org/officeDocument/2006/relationships/hyperlink" Target="https://applyguy.ai/jobs?company=RTX&amp;job=bc091d03-d95a-4954-b269-1ca82145d575" TargetMode="External"/><Relationship Id="rId1551" Type="http://schemas.openxmlformats.org/officeDocument/2006/relationships/hyperlink" Target="https://job-boards.greenhouse.io/zone5technologies/jobs/5231405008" TargetMode="External"/><Relationship Id="rId1552" Type="http://schemas.openxmlformats.org/officeDocument/2006/relationships/hyperlink" Target="https://careers-heart.icims.com/jobs/17663/intern%2C-data-science-remote/job" TargetMode="External"/><Relationship Id="rId1553" Type="http://schemas.openxmlformats.org/officeDocument/2006/relationships/hyperlink" Target="https://jobs.ashbyhq.com/atomicsemi/de448098-ffc6-4b99-b341-d6a5874f390f" TargetMode="External"/><Relationship Id="rId1543" Type="http://schemas.openxmlformats.org/officeDocument/2006/relationships/hyperlink" Target="https://fa-evmr-saasfaprod1.fa.ocs.oraclecloud.com/hcmUI/CandidateExperience/en/sites/CX_1/job/36308" TargetMode="External"/><Relationship Id="rId1544" Type="http://schemas.openxmlformats.org/officeDocument/2006/relationships/hyperlink" Target="https://osu.wd1.myworkdayjobs.com/OSUCareers/job/Columbus-Campus/Intern--Data-Analytics--Non-OSU-Student-Assistant-_R150208" TargetMode="External"/><Relationship Id="rId1545" Type="http://schemas.openxmlformats.org/officeDocument/2006/relationships/hyperlink" Target="https://selinc.wd1.myworkdayjobs.com/SEL/job/Idaho---Moscow/Data-Analyst-Intern_2026-21381" TargetMode="External"/><Relationship Id="rId1546" Type="http://schemas.openxmlformats.org/officeDocument/2006/relationships/hyperlink" Target="https://selinc.wd1.myworkdayjobs.com/SEL/job/Washington---Pullman/Data-Analyst-Intern_2026-21105" TargetMode="External"/><Relationship Id="rId1547" Type="http://schemas.openxmlformats.org/officeDocument/2006/relationships/hyperlink" Target="https://snapfinance.wd1.myworkdayjobs.com/snap_external_careers/job/Texas/Analytics-Intern_R-2830" TargetMode="External"/><Relationship Id="rId1548" Type="http://schemas.openxmlformats.org/officeDocument/2006/relationships/hyperlink" Target="https://syneoshealth.wd12.myworkdayjobs.com/Syneos_Health_External_Site/job/USA-NC-Morrisville-Hybrid/Intern_25109096" TargetMode="External"/><Relationship Id="rId1549" Type="http://schemas.openxmlformats.org/officeDocument/2006/relationships/hyperlink" Target="https://tencent.wd1.myworkdayjobs.com/Tencent_Careers/job/US-California-Palo-Alto/Data-Science-Intern_R107184" TargetMode="External"/><Relationship Id="rId959" Type="http://schemas.openxmlformats.org/officeDocument/2006/relationships/hyperlink" Target="https://jobs.smartrecruiters.com/BoschGroup/744000121477597" TargetMode="External"/><Relationship Id="rId954" Type="http://schemas.openxmlformats.org/officeDocument/2006/relationships/hyperlink" Target="https://jobs.ashbyhq.com/k-id/35d45263-db3b-4553-b017-b4b1bbd0570d/application?embed=true" TargetMode="External"/><Relationship Id="rId953" Type="http://schemas.openxmlformats.org/officeDocument/2006/relationships/hyperlink" Target="https://jobs.ashbyhq.com/hubs.is/00dc1010-f699-4f43-822b-fdfa57a0da8a/application?embed=true" TargetMode="External"/><Relationship Id="rId952" Type="http://schemas.openxmlformats.org/officeDocument/2006/relationships/hyperlink" Target="https://borgwarner.wd5.myworkdayjobs.com/BorgWarner_Careers/job/Auburn-Hills---Michigan---USA/Market-Research-Intern--Year-Round-----Corporate---GMR--_R2026-3095" TargetMode="External"/><Relationship Id="rId951" Type="http://schemas.openxmlformats.org/officeDocument/2006/relationships/hyperlink" Target="https://job-boards.greenhouse.io/twilio/jobs/7728956" TargetMode="External"/><Relationship Id="rId958" Type="http://schemas.openxmlformats.org/officeDocument/2006/relationships/hyperlink" Target="https://jobs.smartrecruiters.com/BoschGroup/744000131150005" TargetMode="External"/><Relationship Id="rId957" Type="http://schemas.openxmlformats.org/officeDocument/2006/relationships/hyperlink" Target="https://ats.rippling.com/pendulum-intelligence-jobs/jobs/301a1742-46fd-4489-b410-6fdcac0dbe27" TargetMode="External"/><Relationship Id="rId956" Type="http://schemas.openxmlformats.org/officeDocument/2006/relationships/hyperlink" Target="https://job-boards.greenhouse.io/newsbreak/jobs/4684555006" TargetMode="External"/><Relationship Id="rId955" Type="http://schemas.openxmlformats.org/officeDocument/2006/relationships/hyperlink" Target="https://simplify.jobs/p/9ebd5006-eafb-4dda-9050-970f56260e27" TargetMode="External"/><Relationship Id="rId950" Type="http://schemas.openxmlformats.org/officeDocument/2006/relationships/hyperlink" Target="https://job-boards.greenhouse.io/sevenresearch/jobs/4895082008" TargetMode="External"/><Relationship Id="rId1540" Type="http://schemas.openxmlformats.org/officeDocument/2006/relationships/hyperlink" Target="https://job-boards.greenhouse.io/ispottv/jobs/4703297005" TargetMode="External"/><Relationship Id="rId1541" Type="http://schemas.openxmlformats.org/officeDocument/2006/relationships/hyperlink" Target="https://liveramp.wd5.myworkdayjobs.com/LiveRampCareers/job/San-Francisco/Intern--Data-Science_JR012196" TargetMode="External"/><Relationship Id="rId1542" Type="http://schemas.openxmlformats.org/officeDocument/2006/relationships/hyperlink" Target="https://nationwidechildrens.wd5.myworkdayjobs.com/en-US/NCHCareers/job/431-S-18th-St-Columbus-OH/IT-R-I-Data-Science-Intern_R-25866-1" TargetMode="External"/><Relationship Id="rId590" Type="http://schemas.openxmlformats.org/officeDocument/2006/relationships/hyperlink" Target="https://jobs.lever.co/ifm-us/3eec355c-6dde-4a3e-8cdf-b2a8930d5678" TargetMode="External"/><Relationship Id="rId107" Type="http://schemas.openxmlformats.org/officeDocument/2006/relationships/hyperlink" Target="https://www.metacareers.com/jobs/2774289902955470" TargetMode="External"/><Relationship Id="rId106" Type="http://schemas.openxmlformats.org/officeDocument/2006/relationships/hyperlink" Target="https://www.amazon.jobs/en/jobs/3136266/robotics-software-development-engineer-intern-co-op-2026?no_int_redir=1" TargetMode="External"/><Relationship Id="rId105" Type="http://schemas.openxmlformats.org/officeDocument/2006/relationships/hyperlink" Target="https://lifeattiktok.com/search/7662672903447988485" TargetMode="External"/><Relationship Id="rId589" Type="http://schemas.openxmlformats.org/officeDocument/2006/relationships/hyperlink" Target="https://jobs.lever.co/ifm-us/3eec355c-6dde-4a3e-8cdf-b2a8930d5678/apply" TargetMode="External"/><Relationship Id="rId104" Type="http://schemas.openxmlformats.org/officeDocument/2006/relationships/hyperlink" Target="https://lifeattiktok.com/search/7668204438271969589" TargetMode="External"/><Relationship Id="rId588" Type="http://schemas.openxmlformats.org/officeDocument/2006/relationships/hyperlink" Target="https://jobs.ashbyhq.com/gritt/46af6e69-40fc-4e53-940e-a99757137523" TargetMode="External"/><Relationship Id="rId109" Type="http://schemas.openxmlformats.org/officeDocument/2006/relationships/hyperlink" Target="https://nvidia.wd5.myworkdayjobs.com/NVIDIAExternalCareerSite/job/US-MO-St-Louis/Performance-Engineer-Intern--Systems-Software---Fall-2026_JR2015779" TargetMode="External"/><Relationship Id="rId1170" Type="http://schemas.openxmlformats.org/officeDocument/2006/relationships/hyperlink" Target="https://wiki.hyperledger.org/display/INTERN/Hyperledger+Mentorship+Program" TargetMode="External"/><Relationship Id="rId108" Type="http://schemas.openxmlformats.org/officeDocument/2006/relationships/hyperlink" Target="https://nvidia.wd5.myworkdayjobs.com/en-US/nvidiaexternalcareersite/job/US-CA-Santa-Clara/DGX-Cloud-Kubernetes-Runtime-Intern---Fall-2026_JR2009619" TargetMode="External"/><Relationship Id="rId1171" Type="http://schemas.openxmlformats.org/officeDocument/2006/relationships/hyperlink" Target="https://www.igalia.com/coding-experience/" TargetMode="External"/><Relationship Id="rId583" Type="http://schemas.openxmlformats.org/officeDocument/2006/relationships/hyperlink" Target="https://applyguy.ai/jobs?company=Exowatt&amp;job=10df12e8-ae5c-4c57-88a4-ffb0f9449715" TargetMode="External"/><Relationship Id="rId1172" Type="http://schemas.openxmlformats.org/officeDocument/2006/relationships/hyperlink" Target="https://job-boards.greenhouse.io/iherb/jobs/7776154003" TargetMode="External"/><Relationship Id="rId582" Type="http://schemas.openxmlformats.org/officeDocument/2006/relationships/hyperlink" Target="https://job-boards.greenhouse.io/eulerity/jobs/4693128006" TargetMode="External"/><Relationship Id="rId1173" Type="http://schemas.openxmlformats.org/officeDocument/2006/relationships/hyperlink" Target="https://jabil.wd5.myworkdayjobs.com/Jabil_Careers/job/Remote---USA/Software-Engineering-Intern_J2445033" TargetMode="External"/><Relationship Id="rId581" Type="http://schemas.openxmlformats.org/officeDocument/2006/relationships/hyperlink" Target="https://jobs.ashbyhq.com/egra/6f295102-6330-4a9e-9fc4-9b414e620003" TargetMode="External"/><Relationship Id="rId1174" Type="http://schemas.openxmlformats.org/officeDocument/2006/relationships/hyperlink" Target="https://talentmanagementsolution.wd3.myworkdayjobs.com/JonasSoftwareUSA/job/Remote---USA/Software-Engineering-Intern_R52141-1" TargetMode="External"/><Relationship Id="rId580" Type="http://schemas.openxmlformats.org/officeDocument/2006/relationships/hyperlink" Target="https://jobs.ashbyhq.com/contoro/cf7c8043-8fbe-4c7e-b91f-ee6db2a616c5" TargetMode="External"/><Relationship Id="rId1175" Type="http://schemas.openxmlformats.org/officeDocument/2006/relationships/hyperlink" Target="https://jobs.ashbyhq.com/latent%20defense/54841e7d-d80a-4c2f-8c44-d492fe8eb487" TargetMode="External"/><Relationship Id="rId103" Type="http://schemas.openxmlformats.org/officeDocument/2006/relationships/hyperlink" Target="https://lifeattiktok.com/search/7670287013157095733" TargetMode="External"/><Relationship Id="rId587" Type="http://schemas.openxmlformats.org/officeDocument/2006/relationships/hyperlink" Target="https://gf.wd1.myworkdayjobs.com/External/job/Essex-Junction/Robotics-and-Automation-Engineering-Intern_JR-2603574" TargetMode="External"/><Relationship Id="rId1176" Type="http://schemas.openxmlformats.org/officeDocument/2006/relationships/hyperlink" Target="https://lfx.linuxfoundation.org/tools/mentorship/" TargetMode="External"/><Relationship Id="rId102" Type="http://schemas.openxmlformats.org/officeDocument/2006/relationships/hyperlink" Target="https://sonyglobal.wd1.myworkdayjobs.com/sonyglobalcareers/job/Remote---Maryland/Research-Intern--Vision-Foundation-Model-and-Generative-AI_JR-118794" TargetMode="External"/><Relationship Id="rId586" Type="http://schemas.openxmlformats.org/officeDocument/2006/relationships/hyperlink" Target="https://fullsteam.wd1.myworkdayjobs.com/external/job/Remote---US/Data-Science--Machine-Learning---AI-Intern_JR102094" TargetMode="External"/><Relationship Id="rId1177" Type="http://schemas.openxmlformats.org/officeDocument/2006/relationships/hyperlink" Target="https://fellowship.mlh.io/" TargetMode="External"/><Relationship Id="rId101" Type="http://schemas.openxmlformats.org/officeDocument/2006/relationships/hyperlink" Target="https://sonyglobal.wd1.myworkdayjobs.com/en-US/sonyglobalcareers/job/Remote---New-York/Research-Intern-on-Generative-and-Protective-AI-for-Content-Creation_JR-119335" TargetMode="External"/><Relationship Id="rId585" Type="http://schemas.openxmlformats.org/officeDocument/2006/relationships/hyperlink" Target="http://focuskpi.applytojob.com/apply/udj57Jky8L/AI-Business-Operations-Intern-Remote-Paid" TargetMode="External"/><Relationship Id="rId1178" Type="http://schemas.openxmlformats.org/officeDocument/2006/relationships/hyperlink" Target="https://moog.wd5.myworkdayjobs.com/moog_external_career_site/job/Buffalo-NY/Intern--Electrical-Engineering_R-26-18835" TargetMode="External"/><Relationship Id="rId100" Type="http://schemas.openxmlformats.org/officeDocument/2006/relationships/hyperlink" Target="https://sonyglobal.wd1.myworkdayjobs.com/sonyglobalcareers/job/Remote---New-York/Research-Intern-on-Generative-and-Protective-AI-for-Content-Creation_JR-119335" TargetMode="External"/><Relationship Id="rId584" Type="http://schemas.openxmlformats.org/officeDocument/2006/relationships/hyperlink" Target="https://jobs.smartrecruiters.com/Experian/744000121254203" TargetMode="External"/><Relationship Id="rId1179" Type="http://schemas.openxmlformats.org/officeDocument/2006/relationships/hyperlink" Target="https://ats.rippling.com/netwrix-corporation/jobs/dbe87309-bf9f-4c9f-8b1d-6687bb664dbe" TargetMode="External"/><Relationship Id="rId1169" Type="http://schemas.openxmlformats.org/officeDocument/2006/relationships/hyperlink" Target="https://gevernova.wd5.myworkdayjobs.com/en-US/only_confidential_executive_recruiting/job/Remote/Grid-Automation---Software-Intern_R5041706-3" TargetMode="External"/><Relationship Id="rId579" Type="http://schemas.openxmlformats.org/officeDocument/2006/relationships/hyperlink" Target="https://job-boards.greenhouse.io/coherehealth/jobs/7734482003" TargetMode="External"/><Relationship Id="rId578" Type="http://schemas.openxmlformats.org/officeDocument/2006/relationships/hyperlink" Target="http://getfiber.ai/careers?gh_jid=5152467007" TargetMode="External"/><Relationship Id="rId577" Type="http://schemas.openxmlformats.org/officeDocument/2006/relationships/hyperlink" Target="https://capitalone.wd12.myworkdayjobs.com/Capital_One/job/McLean-VA/Current-PhD---Data-Science-Internship---Summer-2027_R244287-1" TargetMode="External"/><Relationship Id="rId1160" Type="http://schemas.openxmlformats.org/officeDocument/2006/relationships/hyperlink" Target="https://job-boards.greenhouse.io/arine/jobs/6026856004" TargetMode="External"/><Relationship Id="rId572" Type="http://schemas.openxmlformats.org/officeDocument/2006/relationships/hyperlink" Target="https://ancestry.wd501.myworkdayjobs.com/Careers/job/Remote/Machine-Learning-Engineer--Co-op_R003378" TargetMode="External"/><Relationship Id="rId1161" Type="http://schemas.openxmlformats.org/officeDocument/2006/relationships/hyperlink" Target="https://jobs.ashbyhq.com/auctor/9d67c881-3ca7-4616-a059-e94c03e19607" TargetMode="External"/><Relationship Id="rId571" Type="http://schemas.openxmlformats.org/officeDocument/2006/relationships/hyperlink" Target="https://ats.rippling.com/usare/jobs/8db9bb37-aa5f-40e0-96ac-d1c4ca796aeb" TargetMode="External"/><Relationship Id="rId1162" Type="http://schemas.openxmlformats.org/officeDocument/2006/relationships/hyperlink" Target="https://jobs.ashbyhq.com/binance.us/c23e9aa3-0daa-4170-a5a7-b03aaa031895/application" TargetMode="External"/><Relationship Id="rId570" Type="http://schemas.openxmlformats.org/officeDocument/2006/relationships/hyperlink" Target="https://www.voloridge.com/jobs/voloridgeinvestmentmanagement/4224950009" TargetMode="External"/><Relationship Id="rId1163" Type="http://schemas.openxmlformats.org/officeDocument/2006/relationships/hyperlink" Target="https://carrier.wd5.myworkdayjobs.com/jobs/job/CANHQ-CCS-HQ---Syracuse-6304-Carrier-Parkway-East-Syracuse-NY-13057-USA/Engineering-Intern---Jumpstart-Program_30212994" TargetMode="External"/><Relationship Id="rId1164" Type="http://schemas.openxmlformats.org/officeDocument/2006/relationships/hyperlink" Target="https://centific.wd1.myworkdayjobs.com/Centific_Global/job/Remote-Work-USA/SDE-Intern_JR107453-1" TargetMode="External"/><Relationship Id="rId576" Type="http://schemas.openxmlformats.org/officeDocument/2006/relationships/hyperlink" Target="https://capitalone.wd12.myworkdayjobs.com/Capital_One/job/McLean-VA/Current-Master-s---Data-Science-Internship---Summer-2027_R244285-1" TargetMode="External"/><Relationship Id="rId1165" Type="http://schemas.openxmlformats.org/officeDocument/2006/relationships/hyperlink" Target="https://cisive.wd108.myworkdayjobs.com/Cisive/job/Remote---Maryland/Software-Development-Intern_JR100290" TargetMode="External"/><Relationship Id="rId575" Type="http://schemas.openxmlformats.org/officeDocument/2006/relationships/hyperlink" Target="https://campbellsoup.wd5.myworkdayjobs.com/externalcareers_globalsite/job/USA---Remote/Agentic-AI-Engineer-Co-Op_Req-66015" TargetMode="External"/><Relationship Id="rId1166" Type="http://schemas.openxmlformats.org/officeDocument/2006/relationships/hyperlink" Target="https://job-boards.greenhouse.io/constantcontact/jobs/7862452" TargetMode="External"/><Relationship Id="rId574" Type="http://schemas.openxmlformats.org/officeDocument/2006/relationships/hyperlink" Target="https://careers-cadent.icims.com/jobs/1406/enterprise-ai-intern/job" TargetMode="External"/><Relationship Id="rId1167" Type="http://schemas.openxmlformats.org/officeDocument/2006/relationships/hyperlink" Target="https://ensemblehp.wd5.myworkdayjobs.com/ensemblehealthpartnerscareers/job/Remote---Nationwide/Engineering-Excellence-Intern_R040778" TargetMode="External"/><Relationship Id="rId573" Type="http://schemas.openxmlformats.org/officeDocument/2006/relationships/hyperlink" Target="https://astreya.wd5.myworkdayjobs.com/life-at-astreya-opportunities/job/Remote-CA/AI-Infrastructure-DC-Design-Intern_R0015747" TargetMode="External"/><Relationship Id="rId1168" Type="http://schemas.openxmlformats.org/officeDocument/2006/relationships/hyperlink" Target="https://job-boards.greenhouse.io/eulerity/jobs/4671025006" TargetMode="External"/><Relationship Id="rId129" Type="http://schemas.openxmlformats.org/officeDocument/2006/relationships/hyperlink" Target="https://jobs.bytedance.com/en/position/7667379221434796341/detail" TargetMode="External"/><Relationship Id="rId128" Type="http://schemas.openxmlformats.org/officeDocument/2006/relationships/hyperlink" Target="https://lifeattiktok.com/search/7642827146549446965" TargetMode="External"/><Relationship Id="rId127" Type="http://schemas.openxmlformats.org/officeDocument/2006/relationships/hyperlink" Target="https://lifeattiktok.com/search/7667935568626043141" TargetMode="External"/><Relationship Id="rId126" Type="http://schemas.openxmlformats.org/officeDocument/2006/relationships/hyperlink" Target="https://lifeattiktok.com/search/7625930920206272773" TargetMode="External"/><Relationship Id="rId1190" Type="http://schemas.openxmlformats.org/officeDocument/2006/relationships/hyperlink" Target="https://amat.wd1.myworkdayjobs.com/en-US/external/job/Santa-ClaraCA/Data-Scientist-Year-Round-Intern---BS-MS-degree--Santa-Clara--CA-_R2619446" TargetMode="External"/><Relationship Id="rId1191" Type="http://schemas.openxmlformats.org/officeDocument/2006/relationships/hyperlink" Target="https://boeing.wd1.myworkdayjobs.com/EXTERNAL_CAREERS/job/USA---Everett-WA/Boeing-Summer-2027-Internship-Program--Paid----Data-Analytics-Intern_JR2026520976-1" TargetMode="External"/><Relationship Id="rId1192" Type="http://schemas.openxmlformats.org/officeDocument/2006/relationships/hyperlink" Target="https://boeing.wd1.myworkdayjobs.com/en-US/external_careers/job/USA---Everett-WA/Boeing-Summer-2027-Internship-Program--Paid----Data-Analytics-Intern_JR2026520976-1" TargetMode="External"/><Relationship Id="rId1193" Type="http://schemas.openxmlformats.org/officeDocument/2006/relationships/hyperlink" Target="https://applyguy.ai/jobs?company=Copart&amp;job=90a8ef83-a3ff-43e1-858b-abd4ebc9a861" TargetMode="External"/><Relationship Id="rId121" Type="http://schemas.openxmlformats.org/officeDocument/2006/relationships/hyperlink" Target="https://lifeattiktok.com/search/7625929879091300613" TargetMode="External"/><Relationship Id="rId1194" Type="http://schemas.openxmlformats.org/officeDocument/2006/relationships/hyperlink" Target="https://www.dssgfellowship.org/" TargetMode="External"/><Relationship Id="rId120" Type="http://schemas.openxmlformats.org/officeDocument/2006/relationships/hyperlink" Target="https://lifeattiktok.com/search/7659527183984019765" TargetMode="External"/><Relationship Id="rId1195" Type="http://schemas.openxmlformats.org/officeDocument/2006/relationships/hyperlink" Target="https://job-boards.greenhouse.io/idmeuniversityrecruiting/jobs/7388902003" TargetMode="External"/><Relationship Id="rId1196" Type="http://schemas.openxmlformats.org/officeDocument/2006/relationships/hyperlink" Target="https://intel.wd1.myworkdayjobs.com/External/job/US-Arizona-Phoenix/Data-Science-and-Analytics-Intern_JR0284960" TargetMode="External"/><Relationship Id="rId1197" Type="http://schemas.openxmlformats.org/officeDocument/2006/relationships/hyperlink" Target="https://intel.wd1.myworkdayjobs.com/External/job/US-Texas-Austin/DTCO-Data-Engineer-Intern_JR0285341" TargetMode="External"/><Relationship Id="rId125" Type="http://schemas.openxmlformats.org/officeDocument/2006/relationships/hyperlink" Target="https://lifeattiktok.com/search/7623531249253255429" TargetMode="External"/><Relationship Id="rId1198" Type="http://schemas.openxmlformats.org/officeDocument/2006/relationships/hyperlink" Target="https://careersenus-itt-inc.icims.com/jobs/17342/job" TargetMode="External"/><Relationship Id="rId124" Type="http://schemas.openxmlformats.org/officeDocument/2006/relationships/hyperlink" Target="https://lifeattiktok.com/search/7623166673809770757" TargetMode="External"/><Relationship Id="rId1199" Type="http://schemas.openxmlformats.org/officeDocument/2006/relationships/hyperlink" Target="https://johndeere.eightfold.ai/careers/job/137481458189" TargetMode="External"/><Relationship Id="rId123" Type="http://schemas.openxmlformats.org/officeDocument/2006/relationships/hyperlink" Target="https://lifeattiktok.com/search/7668381860191734021" TargetMode="External"/><Relationship Id="rId122" Type="http://schemas.openxmlformats.org/officeDocument/2006/relationships/hyperlink" Target="https://lifeattiktok.com/search/7625928030560700725" TargetMode="External"/><Relationship Id="rId118" Type="http://schemas.openxmlformats.org/officeDocument/2006/relationships/hyperlink" Target="https://www.tesla.com/careers/search/job/278578" TargetMode="External"/><Relationship Id="rId117" Type="http://schemas.openxmlformats.org/officeDocument/2006/relationships/hyperlink" Target="https://www.tesla.com/careers/search/job/278847" TargetMode="External"/><Relationship Id="rId116" Type="http://schemas.openxmlformats.org/officeDocument/2006/relationships/hyperlink" Target="https://www.tesla.com/careers/search/job/278249" TargetMode="External"/><Relationship Id="rId115" Type="http://schemas.openxmlformats.org/officeDocument/2006/relationships/hyperlink" Target="https://explore.jobs.netflix.net/careers/job/790316547536" TargetMode="External"/><Relationship Id="rId599" Type="http://schemas.openxmlformats.org/officeDocument/2006/relationships/hyperlink" Target="https://jobs.ashbyhq.com/persona.ai/c7981f54-698b-4617-a72a-ff251f3fa8a7" TargetMode="External"/><Relationship Id="rId1180" Type="http://schemas.openxmlformats.org/officeDocument/2006/relationships/hyperlink" Target="https://openmainframeproject.org/community/mentorship-program/" TargetMode="External"/><Relationship Id="rId1181" Type="http://schemas.openxmlformats.org/officeDocument/2006/relationships/hyperlink" Target="https://www.outreachy.org/" TargetMode="External"/><Relationship Id="rId119" Type="http://schemas.openxmlformats.org/officeDocument/2006/relationships/hyperlink" Target="https://www.tesla.com/careers/search/job/269829" TargetMode="External"/><Relationship Id="rId1182" Type="http://schemas.openxmlformats.org/officeDocument/2006/relationships/hyperlink" Target="https://jobs.lever.co/palantir/4d29249a-d7e8-4c39-880d-3b35d7b2f6f6" TargetMode="External"/><Relationship Id="rId110" Type="http://schemas.openxmlformats.org/officeDocument/2006/relationships/hyperlink" Target="https://nvidia.wd5.myworkdayjobs.com/en-US/NVIDIAExternalCareerSite/job/Performance-Engineer-Intern--Systems-Software---Fall-2026_JR2015779" TargetMode="External"/><Relationship Id="rId594" Type="http://schemas.openxmlformats.org/officeDocument/2006/relationships/hyperlink" Target="https://alliance.wd3.myworkdayjobs.com/nissanjobs/job/Santa-Clara-California---United-States-of-America/Autonomous-Driving-Applications-Research-Intern_R00209383" TargetMode="External"/><Relationship Id="rId1183" Type="http://schemas.openxmlformats.org/officeDocument/2006/relationships/hyperlink" Target="https://jobs.lever.co/palantir/8bcf4f33-0a79-4248-bbfd-49ac4be9dd8e" TargetMode="External"/><Relationship Id="rId593" Type="http://schemas.openxmlformats.org/officeDocument/2006/relationships/hyperlink" Target="https://boards.greenhouse.io/neuralink/jobs/7666761003?gh_jid=7666761003" TargetMode="External"/><Relationship Id="rId1184" Type="http://schemas.openxmlformats.org/officeDocument/2006/relationships/hyperlink" Target="https://jobs.lever.co/palantir/37964982-9b4c-471e-a1d8-fb8f45d7f116" TargetMode="External"/><Relationship Id="rId592" Type="http://schemas.openxmlformats.org/officeDocument/2006/relationships/hyperlink" Target="https://kbr.wd5.myworkdayjobs.com/en-US/kbr_careers/job/Mountain-View-California/Intern--Distributed-Spacecraft-Autonomy_R2127411" TargetMode="External"/><Relationship Id="rId1185" Type="http://schemas.openxmlformats.org/officeDocument/2006/relationships/hyperlink" Target="https://hdhl.fa.us6.oraclecloud.com/hcmUI/CandidateExperience/en/sites/CX_1/job/1006349" TargetMode="External"/><Relationship Id="rId591" Type="http://schemas.openxmlformats.org/officeDocument/2006/relationships/hyperlink" Target="https://applyguy.ai/jobs?company=IPConfigure&amp;job=1a43aad7-4eee-45c9-bb4d-9102547d0a3f" TargetMode="External"/><Relationship Id="rId1186" Type="http://schemas.openxmlformats.org/officeDocument/2006/relationships/hyperlink" Target="https://jobs.ashbyhq.com/tessera-labs/c0350717-8b4d-4a1a-af00-4c62204192fd" TargetMode="External"/><Relationship Id="rId114" Type="http://schemas.openxmlformats.org/officeDocument/2006/relationships/hyperlink" Target="https://apply.careers.microsoft.com/careers/job/1970393556922929" TargetMode="External"/><Relationship Id="rId598" Type="http://schemas.openxmlformats.org/officeDocument/2006/relationships/hyperlink" Target="https://applyguy.ai/jobs?company=Persona+AI+Inc&amp;job=7b94fd17-6dff-4d75-b8ac-10b89c6d6b22" TargetMode="External"/><Relationship Id="rId1187" Type="http://schemas.openxmlformats.org/officeDocument/2006/relationships/hyperlink" Target="https://job-boards.greenhouse.io/virtu/jobs/8624408002" TargetMode="External"/><Relationship Id="rId113" Type="http://schemas.openxmlformats.org/officeDocument/2006/relationships/hyperlink" Target="https://www.amazon.jobs/jobs/10400153/apply" TargetMode="External"/><Relationship Id="rId597" Type="http://schemas.openxmlformats.org/officeDocument/2006/relationships/hyperlink" Target="https://jobs.ashbyhq.com/output/da2723ca-a418-49f1-b7da-a4f383dd8239" TargetMode="External"/><Relationship Id="rId1188" Type="http://schemas.openxmlformats.org/officeDocument/2006/relationships/hyperlink" Target="https://egug.fa.us2.oraclecloud.com/hcmUI/CandidateExperience/en/sites/CX_1/job/26011984" TargetMode="External"/><Relationship Id="rId112" Type="http://schemas.openxmlformats.org/officeDocument/2006/relationships/hyperlink" Target="https://nvidia.wd5.myworkdayjobs.com/en-US/NVIDIAExternalCareerSite/job/Software-Engineering-Intern--JAX---Fall-2026_JR2009745" TargetMode="External"/><Relationship Id="rId596" Type="http://schemas.openxmlformats.org/officeDocument/2006/relationships/hyperlink" Target="https://jobs.ashbyhq.com/outmarket/8d192421-2422-42f5-854f-6a0765a949da/application" TargetMode="External"/><Relationship Id="rId1189" Type="http://schemas.openxmlformats.org/officeDocument/2006/relationships/hyperlink" Target="https://egug.fa.us2.oraclecloud.com/hcmUI/CandidateExperience/en/sites/CX_1/job/26011990" TargetMode="External"/><Relationship Id="rId111" Type="http://schemas.openxmlformats.org/officeDocument/2006/relationships/hyperlink" Target="https://nvidia.wd5.myworkdayjobs.com/nvidiaexternalcareersite/job/US-CA-Santa-Clara/PhD-Software-Engineering-Intern--Decision-Intelligence---Fall-2026_JR2017522" TargetMode="External"/><Relationship Id="rId595" Type="http://schemas.openxmlformats.org/officeDocument/2006/relationships/hyperlink" Target="https://applyguy.ai/jobs?company=NREL&amp;job=a4be3c89-d9d1-4baa-b118-17e351526a89" TargetMode="External"/><Relationship Id="rId1136" Type="http://schemas.openxmlformats.org/officeDocument/2006/relationships/hyperlink" Target="https://emit.fa.ca3.oraclecloud.com/hcmUI/CandidateExperience/en/sites/CX_2001/job/87098" TargetMode="External"/><Relationship Id="rId1137" Type="http://schemas.openxmlformats.org/officeDocument/2006/relationships/hyperlink" Target="https://emit.fa.ca3.oraclecloud.com/hcmUI/CandidateExperience/en/sites/CX_2001/job/92502" TargetMode="External"/><Relationship Id="rId1138" Type="http://schemas.openxmlformats.org/officeDocument/2006/relationships/hyperlink" Target="https://www.zipline.com/careers?gh_jid=7767667003" TargetMode="External"/><Relationship Id="rId1139" Type="http://schemas.openxmlformats.org/officeDocument/2006/relationships/hyperlink" Target="https://www.zipline.com/open-roles?gh_jid=7767667003" TargetMode="External"/><Relationship Id="rId547" Type="http://schemas.openxmlformats.org/officeDocument/2006/relationships/hyperlink" Target="https://www.tower-research.com/open-positions/?gh_jid=8044334" TargetMode="External"/><Relationship Id="rId546" Type="http://schemas.openxmlformats.org/officeDocument/2006/relationships/hyperlink" Target="https://www.tower-research.com/open-positions?gh_jid=8044334" TargetMode="External"/><Relationship Id="rId545" Type="http://schemas.openxmlformats.org/officeDocument/2006/relationships/hyperlink" Target="https://lifeattiktok.com/search/7644719084681234741" TargetMode="External"/><Relationship Id="rId544" Type="http://schemas.openxmlformats.org/officeDocument/2006/relationships/hyperlink" Target="https://www.tesla.com/careers/search/job/278622" TargetMode="External"/><Relationship Id="rId549" Type="http://schemas.openxmlformats.org/officeDocument/2006/relationships/hyperlink" Target="https://www.tower-research.com/open-positions/?gh_jid=8024138" TargetMode="External"/><Relationship Id="rId548" Type="http://schemas.openxmlformats.org/officeDocument/2006/relationships/hyperlink" Target="https://job-boards.greenhouse.io/towerresearchcapital/jobs/8024128" TargetMode="External"/><Relationship Id="rId1130" Type="http://schemas.openxmlformats.org/officeDocument/2006/relationships/hyperlink" Target="https://job-boards.greenhouse.io/vardaspace/jobs/7670782003" TargetMode="External"/><Relationship Id="rId1131" Type="http://schemas.openxmlformats.org/officeDocument/2006/relationships/hyperlink" Target="https://boards.greenhouse.io/vast/jobs/4691428006?gh_jid=4691428006" TargetMode="External"/><Relationship Id="rId543" Type="http://schemas.openxmlformats.org/officeDocument/2006/relationships/hyperlink" Target="https://job-boards.greenhouse.io/tenstorrentuniversity/jobs/5186916007" TargetMode="External"/><Relationship Id="rId1132" Type="http://schemas.openxmlformats.org/officeDocument/2006/relationships/hyperlink" Target="https://vrtx.wd501.myworkdayjobs.com/vertex_careers/job/Boston-MA/Vertex-Fall-Co-op-2026--Lab-Systems-Engineering_REQ-28223-1" TargetMode="External"/><Relationship Id="rId542" Type="http://schemas.openxmlformats.org/officeDocument/2006/relationships/hyperlink" Target="https://careers.sig.com/intern-co-op-technology/jobs/10837" TargetMode="External"/><Relationship Id="rId1133" Type="http://schemas.openxmlformats.org/officeDocument/2006/relationships/hyperlink" Target="https://jobs.ashbyhq.com/vital-lyfe/43a79d8f-a8bb-4c57-a411-1bac946128af/application" TargetMode="External"/><Relationship Id="rId541" Type="http://schemas.openxmlformats.org/officeDocument/2006/relationships/hyperlink" Target="https://careers.sig.com/quantitative-trading-internships-co-ops/jobs/10718" TargetMode="External"/><Relationship Id="rId1134" Type="http://schemas.openxmlformats.org/officeDocument/2006/relationships/hyperlink" Target="https://waystar.wd1.myworkdayjobs.com/Waystar/job/Lehi-UT/Application-Engineer-Co-op_R3312-1" TargetMode="External"/><Relationship Id="rId540" Type="http://schemas.openxmlformats.org/officeDocument/2006/relationships/hyperlink" Target="https://careers-sig.icims.com/jobs/10822/job" TargetMode="External"/><Relationship Id="rId1135" Type="http://schemas.openxmlformats.org/officeDocument/2006/relationships/hyperlink" Target="https://waystar.wd1.myworkdayjobs.com/Waystar/job/Atlanta-GA/Application-Engineer-Co-Op_R3313-1" TargetMode="External"/><Relationship Id="rId1125" Type="http://schemas.openxmlformats.org/officeDocument/2006/relationships/hyperlink" Target="https://careers-sri.icims.com/jobs/6432/job?mobile=true&amp;needsRedirect=false" TargetMode="External"/><Relationship Id="rId1126" Type="http://schemas.openxmlformats.org/officeDocument/2006/relationships/hyperlink" Target="https://synchronyfinancial.wd5.myworkdayjobs.com/University/job/Canton-Engagement-Hub-OH/Software-Engineer-Intern---Fall-2026_2601751-1" TargetMode="External"/><Relationship Id="rId1127" Type="http://schemas.openxmlformats.org/officeDocument/2006/relationships/hyperlink" Target="https://synchronyfinancial.wd5.myworkdayjobs.com/University/job/Stamford-Hub/UConn-Stamford-Digital-Technology-Center-Intern---Fall-2026_2601749-1" TargetMode="External"/><Relationship Id="rId1128" Type="http://schemas.openxmlformats.org/officeDocument/2006/relationships/hyperlink" Target="https://td.wd3.myworkdayjobs.com/en-US/td_bank_careers/job/Mount-Laurel-New-Jersey/XMLNAME-2026-Fall-Co-op---Global-Technology-Solutions---Software-Engineer--SWE-_R_1495659" TargetMode="External"/><Relationship Id="rId1129" Type="http://schemas.openxmlformats.org/officeDocument/2006/relationships/hyperlink" Target="https://vanderlande.wd3.myworkdayjobs.com/careers/job/Marietta-GA-USA/Software-Engineer---Intern_JR36891" TargetMode="External"/><Relationship Id="rId536" Type="http://schemas.openxmlformats.org/officeDocument/2006/relationships/hyperlink" Target="https://careers.sig.com/intern-co-op/jobs/10838" TargetMode="External"/><Relationship Id="rId535" Type="http://schemas.openxmlformats.org/officeDocument/2006/relationships/hyperlink" Target="https://careers-sig.icims.com/jobs/10626/job" TargetMode="External"/><Relationship Id="rId534" Type="http://schemas.openxmlformats.org/officeDocument/2006/relationships/hyperlink" Target="https://job-boards.greenhouse.io/sharkninjaoperatingllc/jobs/4669676006" TargetMode="External"/><Relationship Id="rId533" Type="http://schemas.openxmlformats.org/officeDocument/2006/relationships/hyperlink" Target="https://job-boards.greenhouse.io/samsungresearchamericainternship/jobs/8541339002" TargetMode="External"/><Relationship Id="rId539" Type="http://schemas.openxmlformats.org/officeDocument/2006/relationships/hyperlink" Target="https://careers.sig.com/jobs/10822" TargetMode="External"/><Relationship Id="rId538" Type="http://schemas.openxmlformats.org/officeDocument/2006/relationships/hyperlink" Target="https://careers.sig.com/jobs/10823" TargetMode="External"/><Relationship Id="rId537" Type="http://schemas.openxmlformats.org/officeDocument/2006/relationships/hyperlink" Target="https://careers-sig.icims.com/jobs/10824/job" TargetMode="External"/><Relationship Id="rId1120" Type="http://schemas.openxmlformats.org/officeDocument/2006/relationships/hyperlink" Target="https://jobs.lever.co/shieldai/87d982f2-8b2b-4c73-9a19-71e461c7b724" TargetMode="External"/><Relationship Id="rId532" Type="http://schemas.openxmlformats.org/officeDocument/2006/relationships/hyperlink" Target="https://jobs.ashbyhq.com/rivianvw.tech/3864f83a-7b29-4c96-b00e-436d60c0508a" TargetMode="External"/><Relationship Id="rId1121" Type="http://schemas.openxmlformats.org/officeDocument/2006/relationships/hyperlink" Target="https://jobs.lever.co/solopulseco/00fbde18-a387-4c9f-97d4-77059aec7b56/apply" TargetMode="External"/><Relationship Id="rId531" Type="http://schemas.openxmlformats.org/officeDocument/2006/relationships/hyperlink" Target="https://careers.point72.com/CSJobDetail?jobName=summer-2027-quantitative-developer-internship&amp;jobCode=CSS-0012293" TargetMode="External"/><Relationship Id="rId1122" Type="http://schemas.openxmlformats.org/officeDocument/2006/relationships/hyperlink" Target="https://jobs.lever.co/solopulseco/00fbde18-a387-4c9f-97d4-77059aec7b56" TargetMode="External"/><Relationship Id="rId530" Type="http://schemas.openxmlformats.org/officeDocument/2006/relationships/hyperlink" Target="https://careers.point72.com/CSJobDetail?jobName=summer-2027-quantitative-researcher-internship&amp;jobCode=CSS-0012295" TargetMode="External"/><Relationship Id="rId1123" Type="http://schemas.openxmlformats.org/officeDocument/2006/relationships/hyperlink" Target="https://ats.rippling.com/spreeai/jobs/c52472cb-2671-45d7-b666-17196dc3df25" TargetMode="External"/><Relationship Id="rId1124" Type="http://schemas.openxmlformats.org/officeDocument/2006/relationships/hyperlink" Target="https://ats.rippling.com/spreeai/jobs/d34aed29-7a11-4e37-b5bc-e9317f82f0b1" TargetMode="External"/><Relationship Id="rId1158" Type="http://schemas.openxmlformats.org/officeDocument/2006/relationships/hyperlink" Target="https://vetsez.breezy.hr/p/a4010fdb3a7001-full-stack-developer-intern-remote-opportunity" TargetMode="External"/><Relationship Id="rId1159" Type="http://schemas.openxmlformats.org/officeDocument/2006/relationships/hyperlink" Target="https://job-boards.greenhouse.io/virtu/jobs/8624424002" TargetMode="External"/><Relationship Id="rId569" Type="http://schemas.openxmlformats.org/officeDocument/2006/relationships/hyperlink" Target="https://rochester.wd5.myworkdayjobs.com/UR_Staff/job/Rochester---NY/Co-op-Research-Student-I--Electronics-Shop-_R273409" TargetMode="External"/><Relationship Id="rId568" Type="http://schemas.openxmlformats.org/officeDocument/2006/relationships/hyperlink" Target="https://rochester.wd5.myworkdayjobs.com/UR_Staff/job/Laboratory-for-Laser-Energetics/Co-op-Research-Student-1_R273410" TargetMode="External"/><Relationship Id="rId567" Type="http://schemas.openxmlformats.org/officeDocument/2006/relationships/hyperlink" Target="https://great.ucdavis.edu/" TargetMode="External"/><Relationship Id="rId566" Type="http://schemas.openxmlformats.org/officeDocument/2006/relationships/hyperlink" Target="https://eecs.berkeley.edu/resources/undergrads/research/superb" TargetMode="External"/><Relationship Id="rId561" Type="http://schemas.openxmlformats.org/officeDocument/2006/relationships/hyperlink" Target="https://undergraduateresearch.princeton.edu/programs/summer-programs" TargetMode="External"/><Relationship Id="rId1150" Type="http://schemas.openxmlformats.org/officeDocument/2006/relationships/hyperlink" Target="https://northwesternmutual.wd5.myworkdayjobs.com/corporate-careers/job/Milwaukee-WI-Corporate/Investment-Analyst-Intern---Private-Debt---Equity--Summer-2027_JR-45705" TargetMode="External"/><Relationship Id="rId560" Type="http://schemas.openxmlformats.org/officeDocument/2006/relationships/hyperlink" Target="https://jpmc.fa.oraclecloud.com/hcmUI/CandidateExperience/en/sites/CX_1001/job/210774074" TargetMode="External"/><Relationship Id="rId1151" Type="http://schemas.openxmlformats.org/officeDocument/2006/relationships/hyperlink" Target="https://applyguy.ai/jobs?company=Old+Mission&amp;job=dd63a0a1-0487-4f35-b723-019a9dbe3886" TargetMode="External"/><Relationship Id="rId1152" Type="http://schemas.openxmlformats.org/officeDocument/2006/relationships/hyperlink" Target="https://job-boards.greenhouse.io/optiverprivate/jobs/8402208002" TargetMode="External"/><Relationship Id="rId1153" Type="http://schemas.openxmlformats.org/officeDocument/2006/relationships/hyperlink" Target="https://www.optiver.com/join-us/jobs/8402215002/?gh_jid=8402215002" TargetMode="External"/><Relationship Id="rId565" Type="http://schemas.openxmlformats.org/officeDocument/2006/relationships/hyperlink" Target="https://engineering.stanford.edu/students-academics/equity-and-inclusion-initiatives/prospective-graduate-programs/summer" TargetMode="External"/><Relationship Id="rId1154" Type="http://schemas.openxmlformats.org/officeDocument/2006/relationships/hyperlink" Target="https://ryder.wd5.myworkdayjobs.com/RyderCareers/job/USA---Miami-FL-33178/Integration-IT-Developer-Intern---Remote_R164517" TargetMode="External"/><Relationship Id="rId564" Type="http://schemas.openxmlformats.org/officeDocument/2006/relationships/hyperlink" Target="https://jobs.ashbyhq.com/skydio/ce482813-99c2-4eaa-a165-2ed201249182" TargetMode="External"/><Relationship Id="rId1155" Type="http://schemas.openxmlformats.org/officeDocument/2006/relationships/hyperlink" Target="https://troweprice.wd5.myworkdayjobs.com/TRowePrice/job/Baltimore-MD/XMLNAME-2027-Quantitative-Equity-Investing-Internship-Program_82699" TargetMode="External"/><Relationship Id="rId563" Type="http://schemas.openxmlformats.org/officeDocument/2006/relationships/hyperlink" Target="https://job-boards.greenhouse.io/simpletechnologysolutions/jobs/6134105004" TargetMode="External"/><Relationship Id="rId1156" Type="http://schemas.openxmlformats.org/officeDocument/2006/relationships/hyperlink" Target="https://job-boards.greenhouse.io/transmarketgroup/jobs/5151569007" TargetMode="External"/><Relationship Id="rId562" Type="http://schemas.openxmlformats.org/officeDocument/2006/relationships/hyperlink" Target="https://job-boards.greenhouse.io/walleyecapital-external-students/jobs/4679173006" TargetMode="External"/><Relationship Id="rId1157" Type="http://schemas.openxmlformats.org/officeDocument/2006/relationships/hyperlink" Target="https://job-boards.greenhouse.io/uvimco/jobs/5300713008" TargetMode="External"/><Relationship Id="rId1147" Type="http://schemas.openxmlformats.org/officeDocument/2006/relationships/hyperlink" Target="https://ensemblehp.wd5.myworkdayjobs.com/ensemblehealthpartnerscareers/job/Remote---Nationwide/Engineering-Excellence-Intern_R048023" TargetMode="External"/><Relationship Id="rId1148" Type="http://schemas.openxmlformats.org/officeDocument/2006/relationships/hyperlink" Target="https://job-boards.greenhouse.io/hyannisportresearch/jobs/7822801003" TargetMode="External"/><Relationship Id="rId1149" Type="http://schemas.openxmlformats.org/officeDocument/2006/relationships/hyperlink" Target="https://applyguy.ai/jobs?company=HPR&amp;job=1f5fd872-b1ba-4de4-b446-4bd30c55aa4d" TargetMode="External"/><Relationship Id="rId558" Type="http://schemas.openxmlformats.org/officeDocument/2006/relationships/hyperlink" Target="https://jpmc.fa.oraclecloud.com/hcmUI/CandidateExperience/en/sites/CX_1001/job/210774038" TargetMode="External"/><Relationship Id="rId557" Type="http://schemas.openxmlformats.org/officeDocument/2006/relationships/hyperlink" Target="https://jpmc.fa.oraclecloud.com/hcmUI/CandidateExperience/en/sites/CX_1001/job/210774061" TargetMode="External"/><Relationship Id="rId556" Type="http://schemas.openxmlformats.org/officeDocument/2006/relationships/hyperlink" Target="https://luddy.indiana.edu/research/student-research/fellowship.html" TargetMode="External"/><Relationship Id="rId555" Type="http://schemas.openxmlformats.org/officeDocument/2006/relationships/hyperlink" Target="https://jobs.jobvite.com/exabeam/job/oRNAAfwy" TargetMode="External"/><Relationship Id="rId559" Type="http://schemas.openxmlformats.org/officeDocument/2006/relationships/hyperlink" Target="https://jpmc.fa.oraclecloud.com/hcmUI/CandidateExperience/en/sites/CX_1001/job/210773978" TargetMode="External"/><Relationship Id="rId550" Type="http://schemas.openxmlformats.org/officeDocument/2006/relationships/hyperlink" Target="https://job-boards.greenhouse.io/virtu/jobs/8142539002" TargetMode="External"/><Relationship Id="rId1140" Type="http://schemas.openxmlformats.org/officeDocument/2006/relationships/hyperlink" Target="https://www.zipline.com/open-roles?gh_jid=7780103003" TargetMode="External"/><Relationship Id="rId1141" Type="http://schemas.openxmlformats.org/officeDocument/2006/relationships/hyperlink" Target="https://crowdstrike.wd5.myworkdayjobs.com/crowdstrikecareers/job/USA---Remote/Intelligence-Intern---Fall-2026--Remote-_R29214" TargetMode="External"/><Relationship Id="rId1142" Type="http://schemas.openxmlformats.org/officeDocument/2006/relationships/hyperlink" Target="https://jobs.ashbyhq.com/deepgram/dc8693b5-72ce-4ca3-ab15-9c8434d35da1/application" TargetMode="External"/><Relationship Id="rId554" Type="http://schemas.openxmlformats.org/officeDocument/2006/relationships/hyperlink" Target="https://ensemblehp.wd5.myworkdayjobs.com/ensemblehealthpartnerscareers/job/Remote---Nationwide/Data-Scientist--AI_R048077" TargetMode="External"/><Relationship Id="rId1143" Type="http://schemas.openxmlformats.org/officeDocument/2006/relationships/hyperlink" Target="https://www.dltrading.io/careers?gh_jid=7814660003" TargetMode="External"/><Relationship Id="rId553" Type="http://schemas.openxmlformats.org/officeDocument/2006/relationships/hyperlink" Target="http://block.xyz/careers/jobs/5108007008?gh_jid=5108007008" TargetMode="External"/><Relationship Id="rId1144" Type="http://schemas.openxmlformats.org/officeDocument/2006/relationships/hyperlink" Target="https://www.drw.com/work-at-drw/listings/quantitative-trading-analyst-intern-3375090" TargetMode="External"/><Relationship Id="rId552" Type="http://schemas.openxmlformats.org/officeDocument/2006/relationships/hyperlink" Target="https://jobs.lever.co/xsolla/1c0e5375-2352-4a2c-a816-48ddebbdd3d6/apply" TargetMode="External"/><Relationship Id="rId1145" Type="http://schemas.openxmlformats.org/officeDocument/2006/relationships/hyperlink" Target="https://job-boards.greenhouse.io/drweng/jobs/7992936" TargetMode="External"/><Relationship Id="rId551" Type="http://schemas.openxmlformats.org/officeDocument/2006/relationships/hyperlink" Target="https://jobs.lever.co/xsolla/5d5fd6b3-d82f-437a-b251-abf4674ac874/apply" TargetMode="External"/><Relationship Id="rId1146" Type="http://schemas.openxmlformats.org/officeDocument/2006/relationships/hyperlink" Target="https://job-boards.greenhouse.io/dvtrading/jobs/4719118005" TargetMode="External"/><Relationship Id="rId495" Type="http://schemas.openxmlformats.org/officeDocument/2006/relationships/hyperlink" Target="https://jobs.lever.co/palantir/373367a9-3160-49d8-b7af-2efec062fad1/apply" TargetMode="External"/><Relationship Id="rId494" Type="http://schemas.openxmlformats.org/officeDocument/2006/relationships/hyperlink" Target="https://jobs.lever.co/palantir/f221738b-e97c-4ce3-a12a-17ada2b855e4/apply" TargetMode="External"/><Relationship Id="rId493" Type="http://schemas.openxmlformats.org/officeDocument/2006/relationships/hyperlink" Target="https://jobs.lever.co/palantir/f17e98d0-046a-4e6e-9d65-ed0b12dd0ff7/apply" TargetMode="External"/><Relationship Id="rId492" Type="http://schemas.openxmlformats.org/officeDocument/2006/relationships/hyperlink" Target="https://jobs.lever.co/palantir/373eb939-6f57-4836-8479-be79a5e07249/apply" TargetMode="External"/><Relationship Id="rId499" Type="http://schemas.openxmlformats.org/officeDocument/2006/relationships/hyperlink" Target="https://www.tesla.com/careers/search/job/267750" TargetMode="External"/><Relationship Id="rId498" Type="http://schemas.openxmlformats.org/officeDocument/2006/relationships/hyperlink" Target="https://jobs.lever.co/palantir/5c4c65c5-77da-4d36-856c-4ade87631019" TargetMode="External"/><Relationship Id="rId497" Type="http://schemas.openxmlformats.org/officeDocument/2006/relationships/hyperlink" Target="https://jobs.lever.co/palantir/75cc1c09-8ebd-44c8-b3bc-d122cd1fecb3" TargetMode="External"/><Relationship Id="rId496" Type="http://schemas.openxmlformats.org/officeDocument/2006/relationships/hyperlink" Target="https://jobs.lever.co/palantir/3ab9e715-1ea9-4c6c-ad50-7340eac14e86/apply" TargetMode="External"/><Relationship Id="rId1610" Type="http://schemas.openxmlformats.org/officeDocument/2006/relationships/hyperlink" Target="https://ambarella.wd108.myworkdayjobs.com/ambarella/job/US-Headquarters/ASIC-Design-Engineer-Intern_JR100100" TargetMode="External"/><Relationship Id="rId1611" Type="http://schemas.openxmlformats.org/officeDocument/2006/relationships/hyperlink" Target="https://jobs.ashbyhq.com/base-power/a8ee9a66-e90b-42c2-a4a2-28d997c3e8c7" TargetMode="External"/><Relationship Id="rId1612" Type="http://schemas.openxmlformats.org/officeDocument/2006/relationships/hyperlink" Target="https://jobs.ashbyhq.com/base-power/f22cee0e-55d9-42cd-806e-1c1fc7217770" TargetMode="External"/><Relationship Id="rId1613" Type="http://schemas.openxmlformats.org/officeDocument/2006/relationships/hyperlink" Target="https://bdx.wd1.myworkdayjobs.com/EXTERNAL_CAREER_SITE_USA/job/USA-NJ---Franklin-Lakes/Cybersecurity-Intern--Security-Operations---SkillBridge-Eligible_R-547194-1" TargetMode="External"/><Relationship Id="rId1614" Type="http://schemas.openxmlformats.org/officeDocument/2006/relationships/hyperlink" Target="https://cmu.wd5.myworkdayjobs.com/cmu/job/Pittsburgh-PA/RF-Cyber-Lab-Intern_2024547" TargetMode="External"/><Relationship Id="rId1615" Type="http://schemas.openxmlformats.org/officeDocument/2006/relationships/hyperlink" Target="https://careers.dovercorporation.com/job/Austin-Engineer,-SW-Embedded-Intern-TX-78728/1382730733/?ats=successfactors" TargetMode="External"/><Relationship Id="rId1616" Type="http://schemas.openxmlformats.org/officeDocument/2006/relationships/hyperlink" Target="https://jobs.lever.co/fluxergy-2/c592763e-56ba-4d20-b751-3a4574470eec/apply" TargetMode="External"/><Relationship Id="rId907" Type="http://schemas.openxmlformats.org/officeDocument/2006/relationships/hyperlink" Target="https://gnw.wd1.myworkdayjobs.com/GNW/job/Richmond-Virginia/Genworth-IT-Development-Program-Intern---Summer-2027_REQ-260269-1" TargetMode="External"/><Relationship Id="rId1617" Type="http://schemas.openxmlformats.org/officeDocument/2006/relationships/hyperlink" Target="https://generac.wd5.myworkdayjobs.com/en-US/external/job/Reno-NV---USA/Intern-Firmware-Engineering_JR14674" TargetMode="External"/><Relationship Id="rId906" Type="http://schemas.openxmlformats.org/officeDocument/2006/relationships/hyperlink" Target="https://boards.greenhouse.io/embed/job_app?for=gemini&amp;token=7875125&amp;gh_jid=7875125" TargetMode="External"/><Relationship Id="rId1618" Type="http://schemas.openxmlformats.org/officeDocument/2006/relationships/hyperlink" Target="https://job-boards.greenhouse.io/harbingermotors/jobs/5164361007" TargetMode="External"/><Relationship Id="rId905" Type="http://schemas.openxmlformats.org/officeDocument/2006/relationships/hyperlink" Target="https://fticonsulting.wd108.myworkdayjobs.com/FTIConsultingCareersPrivate/job/United-States/XMLNAME-2027-Intern---Technology_JR260339" TargetMode="External"/><Relationship Id="rId1619" Type="http://schemas.openxmlformats.org/officeDocument/2006/relationships/hyperlink" Target="https://idexx.wd1.myworkdayjobs.com/IDEXX/job/Westbrook-ME/Security-Operations--Cybersecurity--internship_J-053268" TargetMode="External"/><Relationship Id="rId904" Type="http://schemas.openxmlformats.org/officeDocument/2006/relationships/hyperlink" Target="https://fticonsulting.wd108.myworkdayjobs.com/FTIConsultingCareers/job/United-States/XMLNAME-2027-Intern---Technology_JR260339-1" TargetMode="External"/><Relationship Id="rId909" Type="http://schemas.openxmlformats.org/officeDocument/2006/relationships/hyperlink" Target="https://career41.sapsf.com/career?career_ns=job_listing&amp;company=hcollp&amp;career_job_req_id=3507" TargetMode="External"/><Relationship Id="rId908" Type="http://schemas.openxmlformats.org/officeDocument/2006/relationships/hyperlink" Target="https://job-boards.greenhouse.io/eventsandinterns/jobs/7820942003" TargetMode="External"/><Relationship Id="rId903" Type="http://schemas.openxmlformats.org/officeDocument/2006/relationships/hyperlink" Target="https://jobs.ashbyhq.com/forus/82e10191-232e-4e8d-9c5e-cb82940cdfc7/application?embed=true" TargetMode="External"/><Relationship Id="rId902" Type="http://schemas.openxmlformats.org/officeDocument/2006/relationships/hyperlink" Target="https://jobs.ashbyhq.com/Etched/2d7039e2-190e-4039-b5a9-fff9efa7cc8e" TargetMode="External"/><Relationship Id="rId901" Type="http://schemas.openxmlformats.org/officeDocument/2006/relationships/hyperlink" Target="https://jobs.ashbyhq.com/Etched/80926a71-0a62-4bf8-a877-b6d96df279b7" TargetMode="External"/><Relationship Id="rId900" Type="http://schemas.openxmlformats.org/officeDocument/2006/relationships/hyperlink" Target="https://jobs.ashbyhq.com/Etched/aa17bfa2-2922-4aa7-820d-76064f2551a8" TargetMode="External"/><Relationship Id="rId1600" Type="http://schemas.openxmlformats.org/officeDocument/2006/relationships/hyperlink" Target="https://nrel.wd5.myworkdayjobs.com/NLR/job/Golden-CO/Graduate--Year-Round--Intern---Transportation-Systems-Analysis_R14153" TargetMode="External"/><Relationship Id="rId1601" Type="http://schemas.openxmlformats.org/officeDocument/2006/relationships/hyperlink" Target="https://www.builtinsf.com/job/embedded-software-engineer-intern-fall-2026/10448313" TargetMode="External"/><Relationship Id="rId1602" Type="http://schemas.openxmlformats.org/officeDocument/2006/relationships/hyperlink" Target="https://boards.greenhouse.io/redwoodmaterials/jobs/6126784004?gh_jid=6126784004" TargetMode="External"/><Relationship Id="rId1603" Type="http://schemas.openxmlformats.org/officeDocument/2006/relationships/hyperlink" Target="https://job-boards.greenhouse.io/sharkninjaoperatingllc/jobs/4655076006" TargetMode="External"/><Relationship Id="rId1604" Type="http://schemas.openxmlformats.org/officeDocument/2006/relationships/hyperlink" Target="https://specteraerospace.bamboohr.com/careers/119" TargetMode="External"/><Relationship Id="rId1605" Type="http://schemas.openxmlformats.org/officeDocument/2006/relationships/hyperlink" Target="https://careers-sri.icims.com/jobs/6431/job" TargetMode="External"/><Relationship Id="rId1606" Type="http://schemas.openxmlformats.org/officeDocument/2006/relationships/hyperlink" Target="https://jobs.ashbyhq.com/terranova/8fdce1f7-a1df-4e64-8f10-c78771a399da" TargetMode="External"/><Relationship Id="rId1607" Type="http://schemas.openxmlformats.org/officeDocument/2006/relationships/hyperlink" Target="https://job-boards.greenhouse.io/uberfreight/jobs/5194491008" TargetMode="External"/><Relationship Id="rId1608" Type="http://schemas.openxmlformats.org/officeDocument/2006/relationships/hyperlink" Target="https://jobs.ashbyhq.com/windborne-systems/75c5c65c-8179-4ca0-9659-39bf0f8f7b8b/application" TargetMode="External"/><Relationship Id="rId1609" Type="http://schemas.openxmlformats.org/officeDocument/2006/relationships/hyperlink" Target="https://www.zipline.com/open-roles?gh_jid=7824311003" TargetMode="External"/><Relationship Id="rId1631" Type="http://schemas.openxmlformats.org/officeDocument/2006/relationships/hyperlink" Target="https://borgwarner.wd5.myworkdayjobs.com/BorgWarner_Careers/job/Kokomo-Technical-Center---Indiana---USA/Validation-Intern--Year-Round-_R2026-1958-1" TargetMode="External"/><Relationship Id="rId1632" Type="http://schemas.openxmlformats.org/officeDocument/2006/relationships/hyperlink" Target="https://cranecompany.wd5.myworkdayjobs.com/Careers/job/Cincinnati-Ohio/Manufacturing-Intern_JR102251" TargetMode="External"/><Relationship Id="rId1633" Type="http://schemas.openxmlformats.org/officeDocument/2006/relationships/hyperlink" Target="https://boards.greenhouse.io/neuralink/jobs/7702527003?gh_jid=7702527003" TargetMode="External"/><Relationship Id="rId1634" Type="http://schemas.openxmlformats.org/officeDocument/2006/relationships/hyperlink" Target="https://nidec.wd1.myworkdayjobs.com/nidec/job/North-AmericaUSAMissouriSt-Louis---WPE-MO/Co-Op-Custom-Design-Marketing_R0012409" TargetMode="External"/><Relationship Id="rId1635" Type="http://schemas.openxmlformats.org/officeDocument/2006/relationships/hyperlink" Target="https://nidec.wd1.myworkdayjobs.com/nidec/job/Atlanta-GA/Nidec-Aerospace-Internship-Opportunities_R0010414" TargetMode="External"/><Relationship Id="rId1636" Type="http://schemas.openxmlformats.org/officeDocument/2006/relationships/hyperlink" Target="https://nwis.wd12.myworkdayjobs.com/en-US/nw/job/Annapolis-Junction-MD/Software---Hardware-Engineering---Intern_JR101733" TargetMode="External"/><Relationship Id="rId1637" Type="http://schemas.openxmlformats.org/officeDocument/2006/relationships/hyperlink" Target="https://nxp.wd3.myworkdayjobs.com/Careers/job/Chandler-Office/Digital-Physical-Design--P-R--Intern_R-10064673" TargetMode="External"/><Relationship Id="rId1638" Type="http://schemas.openxmlformats.org/officeDocument/2006/relationships/hyperlink" Target="https://applyguy.ai/jobs?company=PCS+Software+Inc&amp;job=12a932ef-afc5-4e4b-947e-c5a72509d326" TargetMode="External"/><Relationship Id="rId929" Type="http://schemas.openxmlformats.org/officeDocument/2006/relationships/hyperlink" Target="https://www.stokespace.com/careers/current-openings/?gh_jid=5987663004&amp;jr_id=69fae0acd21cf86d1e3cd79c" TargetMode="External"/><Relationship Id="rId1639" Type="http://schemas.openxmlformats.org/officeDocument/2006/relationships/hyperlink" Target="https://www.redventures.com/careers/positions/open?gh_jid=7733251" TargetMode="External"/><Relationship Id="rId928" Type="http://schemas.openxmlformats.org/officeDocument/2006/relationships/hyperlink" Target="https://cat.wd5.myworkdayjobs.com/SolarTurbines/job/San-Diego-California/XMLNAME-2027-Internship----Solutions-Platforms-Engineered_R0000381657" TargetMode="External"/><Relationship Id="rId927" Type="http://schemas.openxmlformats.org/officeDocument/2006/relationships/hyperlink" Target="https://cat.wd5.myworkdayjobs.com/SolarTurbines/job/San-Diego-California/XMLNAME-2027-IT-Intern_R0000381898" TargetMode="External"/><Relationship Id="rId926" Type="http://schemas.openxmlformats.org/officeDocument/2006/relationships/hyperlink" Target="https://simoncomputing.applicantpro.com/jobs/4115690" TargetMode="External"/><Relationship Id="rId921" Type="http://schemas.openxmlformats.org/officeDocument/2006/relationships/hyperlink" Target="https://jobs.lever.co/palantir/373367a9-3160-49d8-b7af-2efec062fad1" TargetMode="External"/><Relationship Id="rId920" Type="http://schemas.openxmlformats.org/officeDocument/2006/relationships/hyperlink" Target="https://jobs.lever.co/palantir/e27af7ab-41fc-40c9-b31d-02c6cb1c505c" TargetMode="External"/><Relationship Id="rId925" Type="http://schemas.openxmlformats.org/officeDocument/2006/relationships/hyperlink" Target="https://job-boards.greenhouse.io/sevenresearch/jobs/4895047008" TargetMode="External"/><Relationship Id="rId924" Type="http://schemas.openxmlformats.org/officeDocument/2006/relationships/hyperlink" Target="https://jobs.gem.com/soeffects/am9icG9zdDqLIuZagE8SU-HqhGf7TGYo" TargetMode="External"/><Relationship Id="rId923" Type="http://schemas.openxmlformats.org/officeDocument/2006/relationships/hyperlink" Target="https://jobs.ashbyhq.com/pylon-labs/fcea8b52-81f1-4b0c-b575-d7b180faec4d/application" TargetMode="External"/><Relationship Id="rId922" Type="http://schemas.openxmlformats.org/officeDocument/2006/relationships/hyperlink" Target="https://job-boards.greenhouse.io/podium81/jobs/7939921" TargetMode="External"/><Relationship Id="rId1630" Type="http://schemas.openxmlformats.org/officeDocument/2006/relationships/hyperlink" Target="https://biotechne.wd5.myworkdayjobs.com/Biotechne/job/San-Jose-CA/Hardware-Engineering-Intern_JR101533" TargetMode="External"/><Relationship Id="rId1620" Type="http://schemas.openxmlformats.org/officeDocument/2006/relationships/hyperlink" Target="https://monolithicpower.wd12.myworkdayjobs.com/MPS_Careers/job/San-Jose-CA/Security-Analyst-Intern_R-982-1" TargetMode="External"/><Relationship Id="rId1621" Type="http://schemas.openxmlformats.org/officeDocument/2006/relationships/hyperlink" Target="https://boards.greenhouse.io/neuralink/jobs/7565469003?gh_jid=7565469003" TargetMode="External"/><Relationship Id="rId1622" Type="http://schemas.openxmlformats.org/officeDocument/2006/relationships/hyperlink" Target="https://primerica.wd1.myworkdayjobs.com/pri/job/Duluth-GA/Fraud-Analyst-Intern_R-234062026" TargetMode="External"/><Relationship Id="rId1623" Type="http://schemas.openxmlformats.org/officeDocument/2006/relationships/hyperlink" Target="https://selinc.wd1.myworkdayjobs.com/SEL/job/Illinois---Fairview-Heights/Designer-Drafter-Intern_2026-21712" TargetMode="External"/><Relationship Id="rId1624" Type="http://schemas.openxmlformats.org/officeDocument/2006/relationships/hyperlink" Target="https://selinc.wd1.myworkdayjobs.com/SEL/job/North-Carolina---Charlotte/Engineering-Intern---Security_2026-22388" TargetMode="External"/><Relationship Id="rId1625" Type="http://schemas.openxmlformats.org/officeDocument/2006/relationships/hyperlink" Target="https://careers.skyworksinc.com/job/Irvine-Analog-IC-Design-SummerFall-Co-Op-(June-" TargetMode="External"/><Relationship Id="rId1626" Type="http://schemas.openxmlformats.org/officeDocument/2006/relationships/hyperlink" Target="https://job-boards.greenhouse.io/xebiausa/jobs/5988141004" TargetMode="External"/><Relationship Id="rId1627" Type="http://schemas.openxmlformats.org/officeDocument/2006/relationships/hyperlink" Target="https://careers.sig.com/jobs/10725" TargetMode="External"/><Relationship Id="rId918" Type="http://schemas.openxmlformats.org/officeDocument/2006/relationships/hyperlink" Target="https://job-boards.greenhouse.io/oldmissioncapital/jobs/7796180003" TargetMode="External"/><Relationship Id="rId1628" Type="http://schemas.openxmlformats.org/officeDocument/2006/relationships/hyperlink" Target="https://jobs.ashbyhq.com/fab2/907766af-a3c0-49a3-b01e-246baa437d10?embed=true" TargetMode="External"/><Relationship Id="rId917" Type="http://schemas.openxmlformats.org/officeDocument/2006/relationships/hyperlink" Target="https://www.oldmissioncapital.com/careers/?gh_jid=7796180003" TargetMode="External"/><Relationship Id="rId1629" Type="http://schemas.openxmlformats.org/officeDocument/2006/relationships/hyperlink" Target="https://jobs.baesystems.com/global/en/job/BAE1US126218BREXTERNAL/Systems-Software-Engineering-Intern-Embedded-Systems" TargetMode="External"/><Relationship Id="rId916" Type="http://schemas.openxmlformats.org/officeDocument/2006/relationships/hyperlink" Target="https://ntst.wd1.myworkdayjobs.com/careers/job/Overland-Park-KS/Software-Engineer-Intern--Summer-2027-Internship-_R015667" TargetMode="External"/><Relationship Id="rId915" Type="http://schemas.openxmlformats.org/officeDocument/2006/relationships/hyperlink" Target="https://jobs.ashbyhq.com/netic/b0ea7aab-8eea-4d31-96f9-278364180ae7" TargetMode="External"/><Relationship Id="rId919" Type="http://schemas.openxmlformats.org/officeDocument/2006/relationships/hyperlink" Target="https://jobs.lever.co/palantir/bdcfb29f-4f27-42de-933f-7f83a359b9f0" TargetMode="External"/><Relationship Id="rId910" Type="http://schemas.openxmlformats.org/officeDocument/2006/relationships/hyperlink" Target="https://hntb.wd5.myworkdayjobs.com/hntb_careers/job/Philadelphia-PA-Pennsylvania/Co-op-Engineer--Track-Design-Rail---Fall-Winter-2026-2027_R-29874" TargetMode="External"/><Relationship Id="rId914" Type="http://schemas.openxmlformats.org/officeDocument/2006/relationships/hyperlink" Target="https://jobs.ashbyhq.com/melius/6a944911-dbbf-44c7-ba52-7866f7b433cf" TargetMode="External"/><Relationship Id="rId913" Type="http://schemas.openxmlformats.org/officeDocument/2006/relationships/hyperlink" Target="https://kiongroup.wd3.myworkdayjobs.com/kiongroup/job/Grand-Rapids-MI-United-States/Software-Engineering-Intern_JR-0092762-1" TargetMode="External"/><Relationship Id="rId912" Type="http://schemas.openxmlformats.org/officeDocument/2006/relationships/hyperlink" Target="https://jobs.ashbyhq.com/junior/23ee686b-d305-4ac9-860d-16c99ddb4891/application?embed=true" TargetMode="External"/><Relationship Id="rId911" Type="http://schemas.openxmlformats.org/officeDocument/2006/relationships/hyperlink" Target="https://www.imc.com/us/careers/jobs/4823924101" TargetMode="External"/><Relationship Id="rId1213" Type="http://schemas.openxmlformats.org/officeDocument/2006/relationships/hyperlink" Target="https://fa-exkk-saasfaprod1.fa.ocs.oraclecloud.com/hcmUI/CandidateExperience/en/sites/CX_1/job/1624" TargetMode="External"/><Relationship Id="rId1214" Type="http://schemas.openxmlformats.org/officeDocument/2006/relationships/hyperlink" Target="https://www.asm.com/open-vacancies?gh_jid=4830113101" TargetMode="External"/><Relationship Id="rId1215" Type="http://schemas.openxmlformats.org/officeDocument/2006/relationships/hyperlink" Target="https://job-boards.greenhouse.io/astranis/jobs/4597559006" TargetMode="External"/><Relationship Id="rId1216" Type="http://schemas.openxmlformats.org/officeDocument/2006/relationships/hyperlink" Target="https://job-boards.greenhouse.io/astranis/jobs/4603493006" TargetMode="External"/><Relationship Id="rId1217" Type="http://schemas.openxmlformats.org/officeDocument/2006/relationships/hyperlink" Target="https://job-boards.greenhouse.io/astranis/jobs/4677541006" TargetMode="External"/><Relationship Id="rId1218" Type="http://schemas.openxmlformats.org/officeDocument/2006/relationships/hyperlink" Target="https://job-boards.greenhouse.io/astranis/jobs/4681183006" TargetMode="External"/><Relationship Id="rId1219" Type="http://schemas.openxmlformats.org/officeDocument/2006/relationships/hyperlink" Target="https://blackcape.applytojob.com/apply/7o6mmAYryt" TargetMode="External"/><Relationship Id="rId866" Type="http://schemas.openxmlformats.org/officeDocument/2006/relationships/hyperlink" Target="https://cisco.wd5.myworkdayjobs.com/cisco_careers/job/San-Jose-California-US/Software-Engineer-I--Intern----United-States_2007170" TargetMode="External"/><Relationship Id="rId865" Type="http://schemas.openxmlformats.org/officeDocument/2006/relationships/hyperlink" Target="https://centific.wd1.myworkdayjobs.com/en-US/centific_global/job/Remote-Work-USA/Research-Intern---Applied-Reinforcement-Learning_JR106882" TargetMode="External"/><Relationship Id="rId864" Type="http://schemas.openxmlformats.org/officeDocument/2006/relationships/hyperlink" Target="https://osv-cci.wd1.myworkdayjobs.com/en-US/CCICareers/job/Stamford-CT/Data-Engineering-Internship--Summer-2027-_R1346" TargetMode="External"/><Relationship Id="rId863" Type="http://schemas.openxmlformats.org/officeDocument/2006/relationships/hyperlink" Target="https://capitalone.wd12.myworkdayjobs.com/en-US/Capital_One/job/Intern--Full-Stack-Software-Engineer---Team-Integrated-Storefront---Fall-2026_R241117" TargetMode="External"/><Relationship Id="rId869" Type="http://schemas.openxmlformats.org/officeDocument/2006/relationships/hyperlink" Target="https://boards.greenhouse.io/cloudflare/jobs/8015230" TargetMode="External"/><Relationship Id="rId868" Type="http://schemas.openxmlformats.org/officeDocument/2006/relationships/hyperlink" Target="https://applyguy.ai/jobs?company=Cloudflare&amp;job=896765d6-434a-4ada-890c-b8e5e475443a" TargetMode="External"/><Relationship Id="rId867" Type="http://schemas.openxmlformats.org/officeDocument/2006/relationships/hyperlink" Target="https://boards.greenhouse.io/cloudflare/jobs/8052785" TargetMode="External"/><Relationship Id="rId862" Type="http://schemas.openxmlformats.org/officeDocument/2006/relationships/hyperlink" Target="https://jobs.smartrecruiters.com/BoschGroup/744000141338859" TargetMode="External"/><Relationship Id="rId861" Type="http://schemas.openxmlformats.org/officeDocument/2006/relationships/hyperlink" Target="https://amat.wd1.myworkdayjobs.com/External/job/BillericaMA/XMLNAME-2026-Fall-Quality-Engineering-Co-op--Billerica--MA-_R2622271" TargetMode="External"/><Relationship Id="rId1210" Type="http://schemas.openxmlformats.org/officeDocument/2006/relationships/hyperlink" Target="https://applyguy.ai/jobs?company=Uline&amp;job=9955155f-fd7c-4baa-8719-5eadf32a0f74" TargetMode="External"/><Relationship Id="rId860" Type="http://schemas.openxmlformats.org/officeDocument/2006/relationships/hyperlink" Target="https://abb.wd3.myworkdayjobs.com/external_career_page/job/Alpharetta-Georgia-United-States-of-America/Application-Engineering-Intern---Fall-2026_JR00038999" TargetMode="External"/><Relationship Id="rId1211" Type="http://schemas.openxmlformats.org/officeDocument/2006/relationships/hyperlink" Target="https://abb.wd3.myworkdayjobs.com/external_career_page/job/USA-TN-Memphis/Instructional-Design--Fall-2026_JR00042028" TargetMode="External"/><Relationship Id="rId1212" Type="http://schemas.openxmlformats.org/officeDocument/2006/relationships/hyperlink" Target="https://pae.wd1.myworkdayjobs.com/Amentum_Careers/job/US-AL-Huntsville/Intern---Digital-and-Logic-Design-Engineer-Fall-Intern_R0167259" TargetMode="External"/><Relationship Id="rId1202" Type="http://schemas.openxmlformats.org/officeDocument/2006/relationships/hyperlink" Target="https://moog.wd5.myworkdayjobs.com/moog_external_career_site/job/Buffalo-NY/Intern--IT-Computer-Science---Data-Analytics_R-26-17145" TargetMode="External"/><Relationship Id="rId1203" Type="http://schemas.openxmlformats.org/officeDocument/2006/relationships/hyperlink" Target="https://eeho.fa.us2.oraclecloud.com/hcmUI/CandidateExperience/en/sites/CX_45001/job/334390" TargetMode="External"/><Relationship Id="rId1204" Type="http://schemas.openxmlformats.org/officeDocument/2006/relationships/hyperlink" Target="https://jobs.ashbyhq.com/rivianvw.tech/8cfc9852-8aa4-492f-8817-ae4bc62dd127" TargetMode="External"/><Relationship Id="rId1205" Type="http://schemas.openxmlformats.org/officeDocument/2006/relationships/hyperlink" Target="https://applyguy.ai/jobs?company=ROCKWOOL+Group&amp;job=bda16720-5bfd-459f-9f1b-edf50e85f566" TargetMode="External"/><Relationship Id="rId1206" Type="http://schemas.openxmlformats.org/officeDocument/2006/relationships/hyperlink" Target="https://cat.wd5.myworkdayjobs.com/en-US/solarturbines/job/San-Diego-California/XMLNAME-2027-Internship--Gas-Compressor-Data-Analyst_R0000375786" TargetMode="External"/><Relationship Id="rId1207" Type="http://schemas.openxmlformats.org/officeDocument/2006/relationships/hyperlink" Target="https://jobs.ashbyhq.com/tessera-labs/3b2d45b8-9881-41fe-b103-7bbc400e1544" TargetMode="External"/><Relationship Id="rId1208" Type="http://schemas.openxmlformats.org/officeDocument/2006/relationships/hyperlink" Target="https://applyguy.ai/jobs?company=The+Hartford&amp;job=7958264f-6003-4f59-9efa-9fe0d7dbad3f" TargetMode="External"/><Relationship Id="rId1209" Type="http://schemas.openxmlformats.org/officeDocument/2006/relationships/hyperlink" Target="https://applyguy.ai/jobs?company=Tnuck&amp;job=ad69fe51-4adf-4511-8a90-e0dd4adf4f6a" TargetMode="External"/><Relationship Id="rId855" Type="http://schemas.openxmlformats.org/officeDocument/2006/relationships/hyperlink" Target="https://applyguy.ai/jobs?company=Toshiba+Global+Commerce+Solutions+-+External&amp;job=2caf31a7-5ea5-47b9-bfd9-edfecaeb7456" TargetMode="External"/><Relationship Id="rId854" Type="http://schemas.openxmlformats.org/officeDocument/2006/relationships/hyperlink" Target="https://applyguy.ai/jobs?company=Toshiba+Global+Commerce+Solutions+-+External&amp;job=fb442b69-fb84-43f1-b263-308e8334fdc2" TargetMode="External"/><Relationship Id="rId853" Type="http://schemas.openxmlformats.org/officeDocument/2006/relationships/hyperlink" Target="https://careers.toasttab.com/jobs?gh_jid=7909139" TargetMode="External"/><Relationship Id="rId852" Type="http://schemas.openxmlformats.org/officeDocument/2006/relationships/hyperlink" Target="https://tifin.com/careers/apply/?gh_jid=5981740004" TargetMode="External"/><Relationship Id="rId859" Type="http://schemas.openxmlformats.org/officeDocument/2006/relationships/hyperlink" Target="https://applyguy.ai/jobs?company=Univision&amp;job=4a397f1d-cd17-45ac-a84b-952fc44280ea" TargetMode="External"/><Relationship Id="rId858" Type="http://schemas.openxmlformats.org/officeDocument/2006/relationships/hyperlink" Target="https://uline.wd1.myworkdayjobs.com/en-US/Uline_Careers/job/Pleasant-Prairie-WI/Product-Management-Internship---Summer-2027_R265939" TargetMode="External"/><Relationship Id="rId857" Type="http://schemas.openxmlformats.org/officeDocument/2006/relationships/hyperlink" Target="https://www.tripleringtech.com/careers?gh_jid=4705074005" TargetMode="External"/><Relationship Id="rId856" Type="http://schemas.openxmlformats.org/officeDocument/2006/relationships/hyperlink" Target="https://job-boards.greenhouse.io/toshibaglobalcommercesolutions/jobs/5195845007" TargetMode="External"/><Relationship Id="rId851" Type="http://schemas.openxmlformats.org/officeDocument/2006/relationships/hyperlink" Target="https://applyguy.ai/jobs?company=Tenstorrent+University+Jobs&amp;job=19fa38fe-e3ea-4823-a101-56b56ee7a25b" TargetMode="External"/><Relationship Id="rId850" Type="http://schemas.openxmlformats.org/officeDocument/2006/relationships/hyperlink" Target="https://swbc.wd1.myworkdayjobs.com/swbccareers/job/San-Antonio-TX/AI-Intern_R0014877" TargetMode="External"/><Relationship Id="rId1200" Type="http://schemas.openxmlformats.org/officeDocument/2006/relationships/hyperlink" Target="https://jobs.jobvite.com/metropolitantransportationauthority/job/oboAAfwt" TargetMode="External"/><Relationship Id="rId1201" Type="http://schemas.openxmlformats.org/officeDocument/2006/relationships/hyperlink" Target="https://jobs.jobvite.com/metropolitantransportationauthority/job/o6OAAfwO" TargetMode="External"/><Relationship Id="rId1235" Type="http://schemas.openxmlformats.org/officeDocument/2006/relationships/hyperlink" Target="https://job-boards.greenhouse.io/freeformfuturecorp/jobs/7767513003" TargetMode="External"/><Relationship Id="rId1236" Type="http://schemas.openxmlformats.org/officeDocument/2006/relationships/hyperlink" Target="https://job-boards.greenhouse.io/freeformfuturecorp/jobs/7765271003" TargetMode="External"/><Relationship Id="rId1237" Type="http://schemas.openxmlformats.org/officeDocument/2006/relationships/hyperlink" Target="https://geaerospace.wd5.myworkdayjobs.com/GE_ExternalSite/job/Grand-Rapids/Systems-Engineering-Co-op---Electrical-Engineering---Computer-Engineering-Science--Avionics----US---Spring-2027---Returning-Students_R5030167-1" TargetMode="External"/><Relationship Id="rId1238" Type="http://schemas.openxmlformats.org/officeDocument/2006/relationships/hyperlink" Target="https://geaerospace.wd5.myworkdayjobs.com/GE_ExternalSite/job/Dayton/Systems-Engineering-Co-op---Electrical-Engineering---Computer-Engineering-Science--Electric-Power----US---Spring-2027---Returning-Students_R5030168-1" TargetMode="External"/><Relationship Id="rId1239" Type="http://schemas.openxmlformats.org/officeDocument/2006/relationships/hyperlink" Target="https://gevernova.wd5.myworkdayjobs.com/vernova_externalsite/job/Wilmington-NC-USA/GE-Vernova-Nuclear-Engineering-Co-Op-Intern---Spring-2027_R5048552-2" TargetMode="External"/><Relationship Id="rId409" Type="http://schemas.openxmlformats.org/officeDocument/2006/relationships/hyperlink" Target="https://job-boards.greenhouse.io/virtu/jobs/8624410002" TargetMode="External"/><Relationship Id="rId404" Type="http://schemas.openxmlformats.org/officeDocument/2006/relationships/hyperlink" Target="https://www.deshaw.com/careers/software-developer-ph-d-intern-new-york-summer-2027-5893" TargetMode="External"/><Relationship Id="rId888" Type="http://schemas.openxmlformats.org/officeDocument/2006/relationships/hyperlink" Target="https://jobs.apple.com/en-us/details/200664383/hardware-technologies-masters-engineering-internships" TargetMode="External"/><Relationship Id="rId403" Type="http://schemas.openxmlformats.org/officeDocument/2006/relationships/hyperlink" Target="https://www.deshaw.com/careers/5894" TargetMode="External"/><Relationship Id="rId887" Type="http://schemas.openxmlformats.org/officeDocument/2006/relationships/hyperlink" Target="https://jobs.apple.com/en-us/details/200664419/hardware-masters-engineering-internships" TargetMode="External"/><Relationship Id="rId402" Type="http://schemas.openxmlformats.org/officeDocument/2006/relationships/hyperlink" Target="https://www.deshaw.com/careers/software-developer-intern-new-york-summer-2027-5894" TargetMode="External"/><Relationship Id="rId886" Type="http://schemas.openxmlformats.org/officeDocument/2006/relationships/hyperlink" Target="https://job-boards.greenhouse.io/appian/jobs/8041237" TargetMode="External"/><Relationship Id="rId401" Type="http://schemas.openxmlformats.org/officeDocument/2006/relationships/hyperlink" Target="https://boards.greenhouse.io/cloudflare/jobs/8089379" TargetMode="External"/><Relationship Id="rId885" Type="http://schemas.openxmlformats.org/officeDocument/2006/relationships/hyperlink" Target="https://boards.greenhouse.io/andurilindustries/jobs/5153187007?gh_jid=5153187007" TargetMode="External"/><Relationship Id="rId408" Type="http://schemas.openxmlformats.org/officeDocument/2006/relationships/hyperlink" Target="https://job-boards.greenhouse.io/virtu/jobs/8657500002" TargetMode="External"/><Relationship Id="rId407" Type="http://schemas.openxmlformats.org/officeDocument/2006/relationships/hyperlink" Target="https://apply.careers.microsoft.com/careers/job/1970393556911730" TargetMode="External"/><Relationship Id="rId406" Type="http://schemas.openxmlformats.org/officeDocument/2006/relationships/hyperlink" Target="https://www.drw.com/work-at-drw/listings/software-developer-intern-3467328" TargetMode="External"/><Relationship Id="rId405" Type="http://schemas.openxmlformats.org/officeDocument/2006/relationships/hyperlink" Target="https://www.deshaw.com/careers/systems-engineering-intern-new-york-summer-2027-5916" TargetMode="External"/><Relationship Id="rId889" Type="http://schemas.openxmlformats.org/officeDocument/2006/relationships/hyperlink" Target="https://jobs.apple.com/en-us/details/200663981-3810/hardware-undergrad-engineering-internships" TargetMode="External"/><Relationship Id="rId880" Type="http://schemas.openxmlformats.org/officeDocument/2006/relationships/hyperlink" Target="https://jobs.ashbyhq.com/rivianvw.tech/50e43cbe-01ea-4b8b-be4c-bb5f48a2be92" TargetMode="External"/><Relationship Id="rId1230" Type="http://schemas.openxmlformats.org/officeDocument/2006/relationships/hyperlink" Target="https://jobs.ashbyhq.com/fab2/615feebf-d9e3-4583-9c85-ba16af44e65c/application" TargetMode="External"/><Relationship Id="rId400" Type="http://schemas.openxmlformats.org/officeDocument/2006/relationships/hyperlink" Target="https://careers-peraton.icims.com/jobs/167460/generative-ai-engineering-intern-%28graduate%29/job" TargetMode="External"/><Relationship Id="rId884" Type="http://schemas.openxmlformats.org/officeDocument/2006/relationships/hyperlink" Target="https://boards.greenhouse.io/andurilindustries/jobs/5148101007?gh_jid=5148101007" TargetMode="External"/><Relationship Id="rId1231" Type="http://schemas.openxmlformats.org/officeDocument/2006/relationships/hyperlink" Target="https://job-boards.greenhouse.io/figureai/jobs/4676468006" TargetMode="External"/><Relationship Id="rId883" Type="http://schemas.openxmlformats.org/officeDocument/2006/relationships/hyperlink" Target="https://apply.workable.com/al-warren-oil-company-inc/j/A4487B349D/" TargetMode="External"/><Relationship Id="rId1232" Type="http://schemas.openxmlformats.org/officeDocument/2006/relationships/hyperlink" Target="https://fa-esbv-saasfaprod1.fa.ocs.oraclecloud.com/hcmUI/CandidateExperience/en/sites/CX_1/job/1025352" TargetMode="External"/><Relationship Id="rId882" Type="http://schemas.openxmlformats.org/officeDocument/2006/relationships/hyperlink" Target="https://jobs.smartrecruiters.com/WesternDigital/744000139338269" TargetMode="External"/><Relationship Id="rId1233" Type="http://schemas.openxmlformats.org/officeDocument/2006/relationships/hyperlink" Target="https://applyguy.ai/jobs?company=Formlabs&amp;job=d9f4496e-f33d-480b-8df0-3b2943415198" TargetMode="External"/><Relationship Id="rId881" Type="http://schemas.openxmlformats.org/officeDocument/2006/relationships/hyperlink" Target="https://job-boards.greenhouse.io/walleyecapital-external-students/jobs/4676587006" TargetMode="External"/><Relationship Id="rId1234" Type="http://schemas.openxmlformats.org/officeDocument/2006/relationships/hyperlink" Target="https://applyguy.ai/jobs?company=Formlabs&amp;job=ed35047b-9a71-476d-a67a-708577650a88" TargetMode="External"/><Relationship Id="rId1224" Type="http://schemas.openxmlformats.org/officeDocument/2006/relationships/hyperlink" Target="https://ciena.wd5.myworkdayjobs.com/en-US/Careers/job/Software-Engineer-and-Tools-Developer-Intern--Fall-2026-_R028752" TargetMode="External"/><Relationship Id="rId1225" Type="http://schemas.openxmlformats.org/officeDocument/2006/relationships/hyperlink" Target="https://cisco.wd5.myworkdayjobs.com/cisco_careers/job/San-Jose-California-US/Hardware-Engineer-I--Co-op----United-States_2000041" TargetMode="External"/><Relationship Id="rId1226" Type="http://schemas.openxmlformats.org/officeDocument/2006/relationships/hyperlink" Target="https://cisco.wd5.myworkdayjobs.com/cisco_careers/job/San-Jose-California-US/Hardware-Engineer-II--Co-op----United-States_2000128" TargetMode="External"/><Relationship Id="rId1227" Type="http://schemas.openxmlformats.org/officeDocument/2006/relationships/hyperlink" Target="https://boards.greenhouse.io/cloudflare/jobs/8095533?gh_jid=8095533" TargetMode="External"/><Relationship Id="rId1228" Type="http://schemas.openxmlformats.org/officeDocument/2006/relationships/hyperlink" Target="https://www.crunchtime.com/open-positions?gh_jid=5971210004" TargetMode="External"/><Relationship Id="rId1229" Type="http://schemas.openxmlformats.org/officeDocument/2006/relationships/hyperlink" Target="https://job-boards.greenhouse.io/msfcareers/jobs/5271141008" TargetMode="External"/><Relationship Id="rId877" Type="http://schemas.openxmlformats.org/officeDocument/2006/relationships/hyperlink" Target="https://boards.greenhouse.io/embed/job_app?token=8003019" TargetMode="External"/><Relationship Id="rId876" Type="http://schemas.openxmlformats.org/officeDocument/2006/relationships/hyperlink" Target="https://gehc.wd5.myworkdayjobs.com/GEHC_ExternalSite/job/Remote/Surgery-Field-Engineer-Apprentice_R4043950-1" TargetMode="External"/><Relationship Id="rId875" Type="http://schemas.openxmlformats.org/officeDocument/2006/relationships/hyperlink" Target="https://gehc.wd5.myworkdayjobs.com/GEHC_ExternalSite/job/Remote/Field-Engineer-Apprentice_R4043345-1" TargetMode="External"/><Relationship Id="rId874" Type="http://schemas.openxmlformats.org/officeDocument/2006/relationships/hyperlink" Target="https://gehc.wd5.myworkdayjobs.com/GEHC_ExternalSite/job/Remote/Field-Engineer-Apprentice_R4043150-1" TargetMode="External"/><Relationship Id="rId879" Type="http://schemas.openxmlformats.org/officeDocument/2006/relationships/hyperlink" Target="https://jobs.ashbyhq.com/rivianvw.tech/3f314ca7-978e-4ad6-b527-0487a9a9598c" TargetMode="External"/><Relationship Id="rId878" Type="http://schemas.openxmlformats.org/officeDocument/2006/relationships/hyperlink" Target="https://eeho.fa.us2.oraclecloud.com/hcmUI/CandidateExperience/en/sites/CX_45001/job/334333" TargetMode="External"/><Relationship Id="rId873" Type="http://schemas.openxmlformats.org/officeDocument/2006/relationships/hyperlink" Target="https://gehc.wd5.myworkdayjobs.com/GEHC_ExternalSite/job/Remote/Field-Engineer-Apprentice_R4042992" TargetMode="External"/><Relationship Id="rId1220" Type="http://schemas.openxmlformats.org/officeDocument/2006/relationships/hyperlink" Target="https://ejko.fa.us2.oraclecloud.com/hcmUI/CandidateExperience/en/sites/CX_3/job/14393" TargetMode="External"/><Relationship Id="rId872" Type="http://schemas.openxmlformats.org/officeDocument/2006/relationships/hyperlink" Target="https://gehc.wd5.myworkdayjobs.com/GEHC_ExternalSite/job/Detroit/Field-Engineer-Apprentice_R4043571" TargetMode="External"/><Relationship Id="rId1221" Type="http://schemas.openxmlformats.org/officeDocument/2006/relationships/hyperlink" Target="https://jobs.smartrecruiters.com/BoschGroup/744000140089589" TargetMode="External"/><Relationship Id="rId871" Type="http://schemas.openxmlformats.org/officeDocument/2006/relationships/hyperlink" Target="https://job-boards.greenhouse.io/figureai/jobs/4702104006" TargetMode="External"/><Relationship Id="rId1222" Type="http://schemas.openxmlformats.org/officeDocument/2006/relationships/hyperlink" Target="https://cadence.wd1.myworkdayjobs.com/External_Careers/job/SAN-JOSE/SSG-Design-Engineering-Intern--Fall-2026-_R52641" TargetMode="External"/><Relationship Id="rId870" Type="http://schemas.openxmlformats.org/officeDocument/2006/relationships/hyperlink" Target="https://jobs.ea.com/en_US/careers/JobDetail/Software-Engineer-Intern-Frostbite/210911" TargetMode="External"/><Relationship Id="rId1223" Type="http://schemas.openxmlformats.org/officeDocument/2006/relationships/hyperlink" Target="https://cra.com/job-listings/job?gh_jid=8035563" TargetMode="External"/><Relationship Id="rId1653" Type="http://schemas.openxmlformats.org/officeDocument/2006/relationships/hyperlink" Target="https://cat.wd5.myworkdayjobs.com/SolarTurbines/job/San-Diego-California/XMLNAME-2027-Internship--Gas-Compressor-Data-Analyst_R0000375786" TargetMode="External"/><Relationship Id="rId1654" Type="http://schemas.openxmlformats.org/officeDocument/2006/relationships/hyperlink" Target="https://jobsearch.harman.com/en_US/careers/JobDetail/Intern-Software-Engineering/31931" TargetMode="External"/><Relationship Id="rId1655" Type="http://schemas.openxmlformats.org/officeDocument/2006/relationships/hyperlink" Target="https://careers.bankofamerica.com/en-us/students/job-detail/14419/global-technology-summer-analyst-2027-business-analyst-multiple-locations" TargetMode="External"/><Relationship Id="rId1656" Type="http://schemas.openxmlformats.org/officeDocument/2006/relationships/hyperlink" Target="https://careers.bankofamerica.com/en-us/students/job-detail/14391/global-technology-summer-analyst-2027-cybersecurity-analyst-multiple-locations" TargetMode="External"/><Relationship Id="rId1657" Type="http://schemas.openxmlformats.org/officeDocument/2006/relationships/hyperlink" Target="https://jpmc.fa.oraclecloud.com/hcmUI/CandidateExperience/en/sites/CX_2001/job/210691905" TargetMode="External"/><Relationship Id="rId1658" Type="http://schemas.openxmlformats.org/officeDocument/2006/relationships/hyperlink" Target="https://jobs.smartrecruiters.com/NBCUniversal3/744000121851427" TargetMode="External"/><Relationship Id="rId1659" Type="http://schemas.openxmlformats.org/officeDocument/2006/relationships/hyperlink" Target="https://job-boards.greenhouse.io/appian/jobs/8088496" TargetMode="External"/><Relationship Id="rId829" Type="http://schemas.openxmlformats.org/officeDocument/2006/relationships/hyperlink" Target="https://neighborlybrands.wd1.myworkdayjobs.com/neighborly/job/Irving-TX/AI-Internship_JR0003837" TargetMode="External"/><Relationship Id="rId828" Type="http://schemas.openxmlformats.org/officeDocument/2006/relationships/hyperlink" Target="https://nationwidechildrens.wd5.myworkdayjobs.com/en-US/NCHCareers/job/Main-Campus-Columbus-OH/Research-Intern_R-26191-1" TargetMode="External"/><Relationship Id="rId827" Type="http://schemas.openxmlformats.org/officeDocument/2006/relationships/hyperlink" Target="https://jobs.lever.co/metr/52fca070-da6a-441e-b1d1-8184c51b52e6" TargetMode="External"/><Relationship Id="rId822" Type="http://schemas.openxmlformats.org/officeDocument/2006/relationships/hyperlink" Target="https://job-boards.greenhouse.io/lilasciences/jobs/4280945009" TargetMode="External"/><Relationship Id="rId821" Type="http://schemas.openxmlformats.org/officeDocument/2006/relationships/hyperlink" Target="https://jobs.ashbyhq.com/leland/94347c0b-273b-4c17-9987-563912629633" TargetMode="External"/><Relationship Id="rId820" Type="http://schemas.openxmlformats.org/officeDocument/2006/relationships/hyperlink" Target="https://kiongroup.wd3.myworkdayjobs.com/en-US/kion_scs/job/Wauwatosa-WI-United-States/AI-Internships_JR-0088855" TargetMode="External"/><Relationship Id="rId826" Type="http://schemas.openxmlformats.org/officeDocument/2006/relationships/hyperlink" Target="https://marmon.wd501.myworkdayjobs.com/Marmon_Careers/job/Hartselle-AL/Data-Scientist-Intern_JR0000042254-1" TargetMode="External"/><Relationship Id="rId825" Type="http://schemas.openxmlformats.org/officeDocument/2006/relationships/hyperlink" Target="https://job-boards.greenhouse.io/lilasciences/jobs/4289387009" TargetMode="External"/><Relationship Id="rId824" Type="http://schemas.openxmlformats.org/officeDocument/2006/relationships/hyperlink" Target="https://job-boards.greenhouse.io/lilasciences/jobs/4294212009" TargetMode="External"/><Relationship Id="rId823" Type="http://schemas.openxmlformats.org/officeDocument/2006/relationships/hyperlink" Target="https://job-boards.greenhouse.io/lilasciences/jobs/4280809009" TargetMode="External"/><Relationship Id="rId1650" Type="http://schemas.openxmlformats.org/officeDocument/2006/relationships/hyperlink" Target="https://jobs.citi.com/job/-/-/287/93724104768" TargetMode="External"/><Relationship Id="rId1651" Type="http://schemas.openxmlformats.org/officeDocument/2006/relationships/hyperlink" Target="https://jobs.smartrecruiters.com/NBCUniversal3/744000121848194" TargetMode="External"/><Relationship Id="rId1652" Type="http://schemas.openxmlformats.org/officeDocument/2006/relationships/hyperlink" Target="https://boeing.wd1.myworkdayjobs.com/en-US/EXTERNAL_CAREERS/details/Boeing-Summer-2027-Internship-Program--Paid----Data-Analytics-Intern_JR2026520976-1?q=JR2026520976" TargetMode="External"/><Relationship Id="rId1642" Type="http://schemas.openxmlformats.org/officeDocument/2006/relationships/hyperlink" Target="https://thales.wd3.myworkdayjobs.com/careers/job/Texas/AppSec-Product-Support-Intern_R0328978-1" TargetMode="External"/><Relationship Id="rId1643" Type="http://schemas.openxmlformats.org/officeDocument/2006/relationships/hyperlink" Target="https://careers.appian.com/jobs/8041237-software-engineering-intern" TargetMode="External"/><Relationship Id="rId1644" Type="http://schemas.openxmlformats.org/officeDocument/2006/relationships/hyperlink" Target="https://ebxr.fa.us2.oraclecloud.com/hcmUI/CandidateExperience/en/sites/CX_1/job/214158" TargetMode="External"/><Relationship Id="rId1645" Type="http://schemas.openxmlformats.org/officeDocument/2006/relationships/hyperlink" Target="https://careers.fiserv.com/us/en/job/FFFYJUSR10390264EXTERNALENUS/Application-Development-Summer-Intern?jr_id=69e6ab177820c036924d1dc6" TargetMode="External"/><Relationship Id="rId1646" Type="http://schemas.openxmlformats.org/officeDocument/2006/relationships/hyperlink" Target="https://careers.fiserv.com/us/en/job/FFFYJUSR10390344EXTERNALENUS/Technology-Summer-Intern?jr_id=69e6ab5e3aa0c4796439589b" TargetMode="External"/><Relationship Id="rId1647" Type="http://schemas.openxmlformats.org/officeDocument/2006/relationships/hyperlink" Target="https://www.murumed.com/job-listings/web-software-engineer-intern" TargetMode="External"/><Relationship Id="rId1648" Type="http://schemas.openxmlformats.org/officeDocument/2006/relationships/hyperlink" Target="https://www.murumed.com/job-listings/software-engineer-intern" TargetMode="External"/><Relationship Id="rId1649" Type="http://schemas.openxmlformats.org/officeDocument/2006/relationships/hyperlink" Target="https://jobs.ashbyhq.com/poshmark/062b84e6-1633-43ae-870b-83cb62893caa" TargetMode="External"/><Relationship Id="rId819" Type="http://schemas.openxmlformats.org/officeDocument/2006/relationships/hyperlink" Target="http://k1im.applytojob.com/apply/ISSTIdON0L/AI-Automation-Intern" TargetMode="External"/><Relationship Id="rId818" Type="http://schemas.openxmlformats.org/officeDocument/2006/relationships/hyperlink" Target="https://www.jumptrading.com/hr/job?gh_jid=8002998" TargetMode="External"/><Relationship Id="rId817" Type="http://schemas.openxmlformats.org/officeDocument/2006/relationships/hyperlink" Target="https://hitachi.wd1.myworkdayjobs.com/hitachi/job/Raleigh-North-Carolina-United-States/Data-Scientist-Intern_R0129529" TargetMode="External"/><Relationship Id="rId816" Type="http://schemas.openxmlformats.org/officeDocument/2006/relationships/hyperlink" Target="https://hsg-harvard.icims.com/jobs/38031/ai-engineering-intern-38031/job" TargetMode="External"/><Relationship Id="rId811" Type="http://schemas.openxmlformats.org/officeDocument/2006/relationships/hyperlink" Target="https://jobs.lever.co/fireworkhq/30defeef-fd18-4a43-aa77-3462cca3a859" TargetMode="External"/><Relationship Id="rId810" Type="http://schemas.openxmlformats.org/officeDocument/2006/relationships/hyperlink" Target="https://job-boards.greenhouse.io/faradayfuture/jobs/7799326003" TargetMode="External"/><Relationship Id="rId815" Type="http://schemas.openxmlformats.org/officeDocument/2006/relationships/hyperlink" Target="https://hmi-harvard.icims.com/jobs/38031/ai-engineering-intern-38031/job" TargetMode="External"/><Relationship Id="rId814" Type="http://schemas.openxmlformats.org/officeDocument/2006/relationships/hyperlink" Target="https://jobs.ashbyhq.com/greatquestion/c533196c-75d5-43b8-b1c8-dedf2437d544/application" TargetMode="External"/><Relationship Id="rId813" Type="http://schemas.openxmlformats.org/officeDocument/2006/relationships/hyperlink" Target="https://www.builtinsf.com/job/software-engineer-intern/7607952" TargetMode="External"/><Relationship Id="rId812" Type="http://schemas.openxmlformats.org/officeDocument/2006/relationships/hyperlink" Target="https://job-boards.greenhouse.io/genscript/jobs/5138842007" TargetMode="External"/><Relationship Id="rId1640" Type="http://schemas.openxmlformats.org/officeDocument/2006/relationships/hyperlink" Target="https://applyguy.ai/jobs?company=SRI+International&amp;job=97b6f8ea-1962-4cc2-aebf-b42741670127" TargetMode="External"/><Relationship Id="rId1641" Type="http://schemas.openxmlformats.org/officeDocument/2006/relationships/hyperlink" Target="https://careers-sri.icims.com/jobs/6431/drexel-university-co-op%3A-embedded-software-engineering/job" TargetMode="External"/><Relationship Id="rId849" Type="http://schemas.openxmlformats.org/officeDocument/2006/relationships/hyperlink" Target="https://job-boards.greenhouse.io/submittable/jobs/6123387004" TargetMode="External"/><Relationship Id="rId844" Type="http://schemas.openxmlformats.org/officeDocument/2006/relationships/hyperlink" Target="https://jobs.lever.co/plus-2/efbb82d3-1c4a-4fc9-8b40-ee1545085061" TargetMode="External"/><Relationship Id="rId843" Type="http://schemas.openxmlformats.org/officeDocument/2006/relationships/hyperlink" Target="https://jobs.lever.co/plus-2/ac7f8f73-88d0-48d5-8d4f-71ed4cfa6ecc" TargetMode="External"/><Relationship Id="rId842" Type="http://schemas.openxmlformats.org/officeDocument/2006/relationships/hyperlink" Target="https://www.builtinsf.com/job/software-engineer-intern/9645929" TargetMode="External"/><Relationship Id="rId841" Type="http://schemas.openxmlformats.org/officeDocument/2006/relationships/hyperlink" Target="https://pentair.wd5.myworkdayjobs.com/pentair_careers/job/Golden-Valley-MN/Product-Management-Leadership-Development-Internship-Program---Summer-2027_R23713" TargetMode="External"/><Relationship Id="rId848" Type="http://schemas.openxmlformats.org/officeDocument/2006/relationships/hyperlink" Target="https://ats.rippling.com/en-GB/spreeai/jobs/d34aed29-7a11-4e37-b5bc-e9317f82f0b1" TargetMode="External"/><Relationship Id="rId847" Type="http://schemas.openxmlformats.org/officeDocument/2006/relationships/hyperlink" Target="https://apply.workable.com/quadric-dot-i-o-inc/j/6BEF4752B5/" TargetMode="External"/><Relationship Id="rId846" Type="http://schemas.openxmlformats.org/officeDocument/2006/relationships/hyperlink" Target="https://apply.workable.com/quadric-dot-i-o-inc/j/870833317E/" TargetMode="External"/><Relationship Id="rId845" Type="http://schemas.openxmlformats.org/officeDocument/2006/relationships/hyperlink" Target="https://job-boards.greenhouse.io/postman/jobs/7823417003" TargetMode="External"/><Relationship Id="rId840" Type="http://schemas.openxmlformats.org/officeDocument/2006/relationships/hyperlink" Target="https://psu.wd1.myworkdayjobs.com/en-US/psu_staff/job/Penn-State-University-Park/AI-ML-Research-and-Development-Intern_REQ_0000077083-1" TargetMode="External"/><Relationship Id="rId839" Type="http://schemas.openxmlformats.org/officeDocument/2006/relationships/hyperlink" Target="https://eeho.fa.us2.oraclecloud.com/hcmUI/CandidateExperience/en/sites/CX_45001/job/334348" TargetMode="External"/><Relationship Id="rId838" Type="http://schemas.openxmlformats.org/officeDocument/2006/relationships/hyperlink" Target="https://jobs.ashbyhq.com/ntt-data-aivista/75f9f312-1cf9-4141-b352-60cb2fac8fe9" TargetMode="External"/><Relationship Id="rId833" Type="http://schemas.openxmlformats.org/officeDocument/2006/relationships/hyperlink" Target="https://applyguy.ai/jobs?company=Netic&amp;job=ec903002-9713-4b66-bc66-14438a1eb0f6" TargetMode="External"/><Relationship Id="rId832" Type="http://schemas.openxmlformats.org/officeDocument/2006/relationships/hyperlink" Target="https://nelnet.wd1.myworkdayjobs.com/MyNelnet/job/Lincoln-NE/Intern-Program---Agentic-AI_R22904" TargetMode="External"/><Relationship Id="rId831" Type="http://schemas.openxmlformats.org/officeDocument/2006/relationships/hyperlink" Target="https://nelnet.wd1.myworkdayjobs.com/MyNelnet/job/Lincoln-NE/Intern---AI-Engineer_R22763" TargetMode="External"/><Relationship Id="rId830" Type="http://schemas.openxmlformats.org/officeDocument/2006/relationships/hyperlink" Target="https://nelnet.wd1.myworkdayjobs.com/MyNelnet/job/Lincoln-NE/Agentic-AI-Intern--Marketing-and-Communications_R22919" TargetMode="External"/><Relationship Id="rId837" Type="http://schemas.openxmlformats.org/officeDocument/2006/relationships/hyperlink" Target="https://nrel.wd5.myworkdayjobs.com/NLR/job/Golden-CO/Graduate--Year-Round--Intern--Geospatial-Data-Science-Modeling-and-Analysis_R14338" TargetMode="External"/><Relationship Id="rId836" Type="http://schemas.openxmlformats.org/officeDocument/2006/relationships/hyperlink" Target="https://careers-northstarnm.icims.com/jobs/2144/ai-application-development-intern/job" TargetMode="External"/><Relationship Id="rId835" Type="http://schemas.openxmlformats.org/officeDocument/2006/relationships/hyperlink" Target="https://www.nextiva.com/company/careers-listing?gh_jid=8639480002" TargetMode="External"/><Relationship Id="rId834" Type="http://schemas.openxmlformats.org/officeDocument/2006/relationships/hyperlink" Target="https://dowjones.wd1.myworkdayjobs.com/New_York_Post_Careers/job/NYC---1211-Ave-of-the-Americas/Product-Intern--Fall-2026--10-weeks--24-hours-a-week-_Job_Req_54488" TargetMode="External"/><Relationship Id="rId1660" Type="http://schemas.openxmlformats.org/officeDocument/2006/relationships/drawing" Target="../drawings/drawing2.xml"/><Relationship Id="rId469" Type="http://schemas.openxmlformats.org/officeDocument/2006/relationships/hyperlink" Target="https://jobs.lever.co/field-ai/a03d3102-4ebf-4557-9e0e-537ead53e24f" TargetMode="External"/><Relationship Id="rId468" Type="http://schemas.openxmlformats.org/officeDocument/2006/relationships/hyperlink" Target="https://cra.jotform.com/242948236029866" TargetMode="External"/><Relationship Id="rId467" Type="http://schemas.openxmlformats.org/officeDocument/2006/relationships/hyperlink" Target="https://jobs.ashbyhq.com/contoro/7de98745-6a26-4a96-b82c-0cecf4900eb1" TargetMode="External"/><Relationship Id="rId1290" Type="http://schemas.openxmlformats.org/officeDocument/2006/relationships/hyperlink" Target="https://jobs.ashbyhq.com/zip/caa5ba75-3b38-4d29-88cd-69a90b01fd6f" TargetMode="External"/><Relationship Id="rId1291" Type="http://schemas.openxmlformats.org/officeDocument/2006/relationships/hyperlink" Target="https://www.builtinsf.com/job/enterprise-systems-software-engineer-intern-fall-2026/9677361" TargetMode="External"/><Relationship Id="rId1292" Type="http://schemas.openxmlformats.org/officeDocument/2006/relationships/hyperlink" Target="https://abcfinancial.wd5.myworkdayjobs.com/abcfinancialservices/job/Dallas-TX/Software-Engineer---Intern_REQ-1248" TargetMode="External"/><Relationship Id="rId462" Type="http://schemas.openxmlformats.org/officeDocument/2006/relationships/hyperlink" Target="https://voloridge-investment-management.hiringthing.com/job/1010132/quantitative-research-intern-2027" TargetMode="External"/><Relationship Id="rId1293" Type="http://schemas.openxmlformats.org/officeDocument/2006/relationships/hyperlink" Target="https://abcfinancial.wd5.myworkdayjobs.com/abcfinancialservices/job/Dallas-TX/Software-Engineer---Intern_REQ-1246" TargetMode="External"/><Relationship Id="rId461" Type="http://schemas.openxmlformats.org/officeDocument/2006/relationships/hyperlink" Target="https://jobs.ashbyhq.com/valstad/8478558b-c5b5-43d2-b9c0-eae7a1fb30d8" TargetMode="External"/><Relationship Id="rId1294" Type="http://schemas.openxmlformats.org/officeDocument/2006/relationships/hyperlink" Target="https://altasciences.wd1.myworkdayjobs.com/en-US/careers/job/Overland-Park-Kansas/Process-Innovation---Software-Engineering-Intern_R102750" TargetMode="External"/><Relationship Id="rId460" Type="http://schemas.openxmlformats.org/officeDocument/2006/relationships/hyperlink" Target="https://jobright.ai/jobs/info/6a2a2ce30c4972328e7e75fc" TargetMode="External"/><Relationship Id="rId1295" Type="http://schemas.openxmlformats.org/officeDocument/2006/relationships/hyperlink" Target="https://ambarella.wd108.myworkdayjobs.com/ambarella/job/US-Headquarters/Software-Development-Engineer-Intern_JR100108" TargetMode="External"/><Relationship Id="rId1296" Type="http://schemas.openxmlformats.org/officeDocument/2006/relationships/hyperlink" Target="https://ambarella.wd108.myworkdayjobs.com/ambarella/job/US-Headquarters/Software-Engineer-Intern_JR100107" TargetMode="External"/><Relationship Id="rId466" Type="http://schemas.openxmlformats.org/officeDocument/2006/relationships/hyperlink" Target="https://brunswick.wd1.myworkdayjobs.com/en-US/search/job/Champaign-IL/Computer-Graphics-Software-Developer-Intern_JR-050234" TargetMode="External"/><Relationship Id="rId1297" Type="http://schemas.openxmlformats.org/officeDocument/2006/relationships/hyperlink" Target="https://jobs.ashbyhq.com/apex-technology-inc/5ec2dfa9-724d-4ce4-ab97-5067ec747f11" TargetMode="External"/><Relationship Id="rId465" Type="http://schemas.openxmlformats.org/officeDocument/2006/relationships/hyperlink" Target="https://jobs.ashbyhq.com/anterior/550c48f9-eb2e-4d5e-80ff-8db076b4e52d/application" TargetMode="External"/><Relationship Id="rId1298" Type="http://schemas.openxmlformats.org/officeDocument/2006/relationships/hyperlink" Target="https://job-boards.greenhouse.io/embed/job_app?for=aquaticcapitalmanagement&amp;jr_id=6a06fd77152f493123c4b595&amp;token=8489233002" TargetMode="External"/><Relationship Id="rId464" Type="http://schemas.openxmlformats.org/officeDocument/2006/relationships/hyperlink" Target="https://www.builtinsf.com/job/software-engineer-intern-fall-2026/9967154" TargetMode="External"/><Relationship Id="rId1299" Type="http://schemas.openxmlformats.org/officeDocument/2006/relationships/hyperlink" Target="https://assetmark.wd5.myworkdayjobs.com/AssetMark_Careers/job/Austin-TX/Software-Engineering-Intern_Req-003804" TargetMode="External"/><Relationship Id="rId463" Type="http://schemas.openxmlformats.org/officeDocument/2006/relationships/hyperlink" Target="https://engineering.wustl.edu/academics/undergraduate-research/international-student-research-internship-program.html" TargetMode="External"/><Relationship Id="rId459" Type="http://schemas.openxmlformats.org/officeDocument/2006/relationships/hyperlink" Target="https://careers-sig.icims.com/jobs/11137/financial-reporting-ai-co-op-with-drexel-university/job" TargetMode="External"/><Relationship Id="rId458" Type="http://schemas.openxmlformats.org/officeDocument/2006/relationships/hyperlink" Target="https://careers-sig.icims.com/jobs/11078/equity-options-ai-co-op-with-drexel-university/job" TargetMode="External"/><Relationship Id="rId457" Type="http://schemas.openxmlformats.org/officeDocument/2006/relationships/hyperlink" Target="https://careers-sig.icims.com/jobs/10865/business-analytics-ai-co-op-with-drexel-university/job" TargetMode="External"/><Relationship Id="rId456" Type="http://schemas.openxmlformats.org/officeDocument/2006/relationships/hyperlink" Target="https://boards.greenhouse.io/embed/job_app?token=8096268" TargetMode="External"/><Relationship Id="rId1280" Type="http://schemas.openxmlformats.org/officeDocument/2006/relationships/hyperlink" Target="https://specteraerospace.bamboohr.com/careers/122" TargetMode="External"/><Relationship Id="rId1281" Type="http://schemas.openxmlformats.org/officeDocument/2006/relationships/hyperlink" Target="https://stellarscience.applytojob.com/apply/my4AC4VXHI" TargetMode="External"/><Relationship Id="rId451" Type="http://schemas.openxmlformats.org/officeDocument/2006/relationships/hyperlink" Target="https://jobs.ashbyhq.com/saronic/41012936-b4a2-4d4d-9252-00dc7cc9bbcc" TargetMode="External"/><Relationship Id="rId1282" Type="http://schemas.openxmlformats.org/officeDocument/2006/relationships/hyperlink" Target="https://ats.rippling.com/studyfetch/jobs/4ab846a3-a963-46c3-a60d-03fa832fa7d5" TargetMode="External"/><Relationship Id="rId450" Type="http://schemas.openxmlformats.org/officeDocument/2006/relationships/hyperlink" Target="https://jobs.ashbyhq.com/saronic/c95c2e3a-4c67-47b0-a03d-0e0317ac11a3/application" TargetMode="External"/><Relationship Id="rId1283" Type="http://schemas.openxmlformats.org/officeDocument/2006/relationships/hyperlink" Target="https://jobs.ashbyhq.com/sunday/08feb65a-08b0-462d-aebf-4f0239a16ed8" TargetMode="External"/><Relationship Id="rId1284" Type="http://schemas.openxmlformats.org/officeDocument/2006/relationships/hyperlink" Target="https://synchronyfinancial.wd5.myworkdayjobs.com/en-US/university/job/Canton-Engagement-Hub-OH/Software-Engineer-Intern---Fall-2026_2601751-1" TargetMode="External"/><Relationship Id="rId1285" Type="http://schemas.openxmlformats.org/officeDocument/2006/relationships/hyperlink" Target="https://job-boards.greenhouse.io/trueanomalyinc/jobs/5192738007" TargetMode="External"/><Relationship Id="rId455" Type="http://schemas.openxmlformats.org/officeDocument/2006/relationships/hyperlink" Target="https://www.stepstonegroup.com/current-opportunities/?gh_jid=8096268" TargetMode="External"/><Relationship Id="rId1286" Type="http://schemas.openxmlformats.org/officeDocument/2006/relationships/hyperlink" Target="https://jobs.ashbyhq.com/Verne%20Robotics/bb78cdd4-449b-49f0-bd10-2c62fc85f83b/application" TargetMode="External"/><Relationship Id="rId454" Type="http://schemas.openxmlformats.org/officeDocument/2006/relationships/hyperlink" Target="https://careers-sri.icims.com/jobs/6438/job" TargetMode="External"/><Relationship Id="rId1287" Type="http://schemas.openxmlformats.org/officeDocument/2006/relationships/hyperlink" Target="https://applyguy.ai/jobs?company=Vital+Lyfe&amp;job=b4cf1308-45c4-49a3-b34f-3ad0d6736a9a" TargetMode="External"/><Relationship Id="rId453" Type="http://schemas.openxmlformats.org/officeDocument/2006/relationships/hyperlink" Target="https://jobs.ashbyhq.com/saronic/927985ae-7a48-4628-9e03-36510d64fb5f" TargetMode="External"/><Relationship Id="rId1288" Type="http://schemas.openxmlformats.org/officeDocument/2006/relationships/hyperlink" Target="https://warnerbros.wd5.myworkdayjobs.com/global/job/GA-Atlanta-1050-Techwood-Drive-NW/Sports-Production-and-Design-Internships--ATL---Fall-2026_R000107180" TargetMode="External"/><Relationship Id="rId452" Type="http://schemas.openxmlformats.org/officeDocument/2006/relationships/hyperlink" Target="https://jobs.ashbyhq.com/saronic/1c74957f-0895-415b-9324-08b0994747d7/application" TargetMode="External"/><Relationship Id="rId1289" Type="http://schemas.openxmlformats.org/officeDocument/2006/relationships/hyperlink" Target="https://wgu.wd5.myworkdayjobs.com/External/job/Salt-Lake-City-UT/Data-Support-Engineer-Intern_JR-025859" TargetMode="External"/><Relationship Id="rId491" Type="http://schemas.openxmlformats.org/officeDocument/2006/relationships/hyperlink" Target="https://jobs.lever.co/palantir/e27af7ab-41fc-40c9-b31d-02c6cb1c505c/apply" TargetMode="External"/><Relationship Id="rId490" Type="http://schemas.openxmlformats.org/officeDocument/2006/relationships/hyperlink" Target="https://jobs.lever.co/palantir/bdcfb29f-4f27-42de-933f-7f83a359b9f0/apply" TargetMode="External"/><Relationship Id="rId489" Type="http://schemas.openxmlformats.org/officeDocument/2006/relationships/hyperlink" Target="https://jobs.lever.co/palantir/e6ff8bf2-135e-474d-ad37-24f490ae1dd2/apply" TargetMode="External"/><Relationship Id="rId484" Type="http://schemas.openxmlformats.org/officeDocument/2006/relationships/hyperlink" Target="https://jobs.apple.com/en-us/details/200664785-3810" TargetMode="External"/><Relationship Id="rId483" Type="http://schemas.openxmlformats.org/officeDocument/2006/relationships/hyperlink" Target="https://jobs.apple.com/en-us/details/200664785-3810/software-undergrad-engineering-internships" TargetMode="External"/><Relationship Id="rId482" Type="http://schemas.openxmlformats.org/officeDocument/2006/relationships/hyperlink" Target="https://job-boards.greenhouse.io/xpengmotors/jobs/8535409002" TargetMode="External"/><Relationship Id="rId481" Type="http://schemas.openxmlformats.org/officeDocument/2006/relationships/hyperlink" Target="https://jobs.lever.co/tri/000be2f3-b77c-4719-8476-0718c4c49a19/apply" TargetMode="External"/><Relationship Id="rId488" Type="http://schemas.openxmlformats.org/officeDocument/2006/relationships/hyperlink" Target="https://jobs.lever.co/palantir/9e40d77f-b07c-437b-98e7-def9b0184d89/apply" TargetMode="External"/><Relationship Id="rId487" Type="http://schemas.openxmlformats.org/officeDocument/2006/relationships/hyperlink" Target="https://jobs.lever.co/palantir/cccfe1bd-f15b-4fe5-b044-c793e7961c1b/apply" TargetMode="External"/><Relationship Id="rId486" Type="http://schemas.openxmlformats.org/officeDocument/2006/relationships/hyperlink" Target="https://jobs.ashbyhq.com/opusclip/1966160d-8b4a-40f8-96c5-39a6d81122c2" TargetMode="External"/><Relationship Id="rId485" Type="http://schemas.openxmlformats.org/officeDocument/2006/relationships/hyperlink" Target="https://www.bluerivertechnology.com/job/?gh_jid=7947246" TargetMode="External"/><Relationship Id="rId480" Type="http://schemas.openxmlformats.org/officeDocument/2006/relationships/hyperlink" Target="https://apply.workable.com/pony-dot-ai/j/BA5FFDBC71/" TargetMode="External"/><Relationship Id="rId479" Type="http://schemas.openxmlformats.org/officeDocument/2006/relationships/hyperlink" Target="https://jobs.lever.co/plus-2/7a1afea9-b468-4b7c-a508-185e8e4032db" TargetMode="External"/><Relationship Id="rId478" Type="http://schemas.openxmlformats.org/officeDocument/2006/relationships/hyperlink" Target="https://jobs.lever.co/plus-2/91a07eb1-2244-48bf-a65b-dc166a327ddc/apply" TargetMode="External"/><Relationship Id="rId473" Type="http://schemas.openxmlformats.org/officeDocument/2006/relationships/hyperlink" Target="https://jobs.lever.co/plus-2/06b808df-85a1-4ddd-863c-3e1cbe61eda9/apply" TargetMode="External"/><Relationship Id="rId472" Type="http://schemas.openxmlformats.org/officeDocument/2006/relationships/hyperlink" Target="https://jobs.lever.co/plus-2/012a2134-8a6a-4982-8f25-f906178a24e4/apply" TargetMode="External"/><Relationship Id="rId471" Type="http://schemas.openxmlformats.org/officeDocument/2006/relationships/hyperlink" Target="https://jobs.ashbyhq.com/persona.ai/fd514a3f-4138-48d5-9862-05ff74a4ca08" TargetMode="External"/><Relationship Id="rId470" Type="http://schemas.openxmlformats.org/officeDocument/2006/relationships/hyperlink" Target="https://goodrx.wd1.myworkdayjobs.com/Careers/job/New-York-City-NY/AI-Agent-Developer-Intern_JR100607" TargetMode="External"/><Relationship Id="rId477" Type="http://schemas.openxmlformats.org/officeDocument/2006/relationships/hyperlink" Target="https://jobs.lever.co/plus-2/5d71c173-fef1-409f-b3f0-750e3b828266/apply" TargetMode="External"/><Relationship Id="rId476" Type="http://schemas.openxmlformats.org/officeDocument/2006/relationships/hyperlink" Target="https://jobs.lever.co/plus-2/58d77886-bf3a-4707-8af8-e1af47162e2e/apply" TargetMode="External"/><Relationship Id="rId475" Type="http://schemas.openxmlformats.org/officeDocument/2006/relationships/hyperlink" Target="https://jobs.lever.co/plus-2/a3bcdba6-b0d0-46ba-9af3-a387926a6fb4/apply" TargetMode="External"/><Relationship Id="rId474" Type="http://schemas.openxmlformats.org/officeDocument/2006/relationships/hyperlink" Target="https://jobs.lever.co/plus-2/7a1afea9-b468-4b7c-a508-185e8e4032db/apply" TargetMode="External"/><Relationship Id="rId1257" Type="http://schemas.openxmlformats.org/officeDocument/2006/relationships/hyperlink" Target="https://neboagency.applytojob.com/apply/VhgOaS6Nx3" TargetMode="External"/><Relationship Id="rId1258" Type="http://schemas.openxmlformats.org/officeDocument/2006/relationships/hyperlink" Target="https://neboagency.applytojob.com/apply/TtGKnP4ODV" TargetMode="External"/><Relationship Id="rId1259" Type="http://schemas.openxmlformats.org/officeDocument/2006/relationships/hyperlink" Target="https://neboagency.applytojob.com/apply/AFMqe9Jb7b" TargetMode="External"/><Relationship Id="rId426" Type="http://schemas.openxmlformats.org/officeDocument/2006/relationships/hyperlink" Target="https://job-boards.greenhouse.io/figureai/jobs/4676467006" TargetMode="External"/><Relationship Id="rId425" Type="http://schemas.openxmlformats.org/officeDocument/2006/relationships/hyperlink" Target="https://jobs.ashbyhq.com/deepgram/dc8693b5-72ce-4ca3-ab15-9c8434d35da1" TargetMode="External"/><Relationship Id="rId424" Type="http://schemas.openxmlformats.org/officeDocument/2006/relationships/hyperlink" Target="https://datarobot.wd1.myworkdayjobs.com/en-US/DataRobot_External_Careers/job/Boston-Massachusetts-US/Agentic-AI-Intern_R-102729" TargetMode="External"/><Relationship Id="rId423" Type="http://schemas.openxmlformats.org/officeDocument/2006/relationships/hyperlink" Target="https://www.ycombinator.com/companies/ctgt/jobs/b3hTkK4-software-engineering-intern-summer-2027" TargetMode="External"/><Relationship Id="rId429" Type="http://schemas.openxmlformats.org/officeDocument/2006/relationships/hyperlink" Target="https://gdit.wd5.myworkdayjobs.com/external_career_site/job/USA-VA-Falls-Church---3150-Fairview-Park-Dr-VAS095/GDIT-2027-Summer-AI---ML-Internship_RQ225401" TargetMode="External"/><Relationship Id="rId428" Type="http://schemas.openxmlformats.org/officeDocument/2006/relationships/hyperlink" Target="https://applyguy.ai/jobs?company=Formlabs&amp;job=ab003da6-d6bd-4aa1-949f-e2dfe3f2c64c" TargetMode="External"/><Relationship Id="rId427" Type="http://schemas.openxmlformats.org/officeDocument/2006/relationships/hyperlink" Target="https://job-boards.greenhouse.io/figureai/jobs/4397706006" TargetMode="External"/><Relationship Id="rId1250" Type="http://schemas.openxmlformats.org/officeDocument/2006/relationships/hyperlink" Target="https://menasha.wd12.myworkdayjobs.com/menashacorp/job/Piedmont-South-Carolina/Custom-Packaging-Design-Engineer-Co-Op--Summer-Fall-2026-_R13995" TargetMode="External"/><Relationship Id="rId1251" Type="http://schemas.openxmlformats.org/officeDocument/2006/relationships/hyperlink" Target="https://wd5.myworkdaysite.com/recruiting/microchiphr/External/job/OR---Gresham/Intern--Equipment-Engineering-Technician--Wet-Process-_R2124-25" TargetMode="External"/><Relationship Id="rId1252" Type="http://schemas.openxmlformats.org/officeDocument/2006/relationships/hyperlink" Target="https://micron.wd1.myworkdayjobs.com/External/job/Boise-ID---Main-Site/Intern---TPG-Global-IE_JR107486" TargetMode="External"/><Relationship Id="rId422" Type="http://schemas.openxmlformats.org/officeDocument/2006/relationships/hyperlink" Target="https://comcast.wd5.myworkdayjobs.com/en-US/comcast_careers/job/PA---Philadelphia-1701-John-F-Kennedy-Blvd/Comcast-AI-Strategy---Transformation-Co-op_R437024" TargetMode="External"/><Relationship Id="rId1253" Type="http://schemas.openxmlformats.org/officeDocument/2006/relationships/hyperlink" Target="https://mosaic.wd5.myworkdayjobs.com/mosaic/job/US---Tampa-FL-Lithia-area/Applied-Process-Technology--APT--Engineer-Co-Op--Intern---Spring-2027_64572" TargetMode="External"/><Relationship Id="rId421" Type="http://schemas.openxmlformats.org/officeDocument/2006/relationships/hyperlink" Target="https://cnoinc.wd5.myworkdayjobs.com/en-US/careers/job/Carmel-IN/Artificial-Intelligence--AI--IT-Intern-2027---REMOTE_JR170389" TargetMode="External"/><Relationship Id="rId1254" Type="http://schemas.openxmlformats.org/officeDocument/2006/relationships/hyperlink" Target="https://mosaic.wd5.myworkdayjobs.com/mosaic/job/US---Tampa-FL-Lithia-area/Capital-Project-Engineering-Co-op-Intern---Spring-2027_64392" TargetMode="External"/><Relationship Id="rId420" Type="http://schemas.openxmlformats.org/officeDocument/2006/relationships/hyperlink" Target="https://boards.greenhouse.io/cloudflare/jobs/7781953" TargetMode="External"/><Relationship Id="rId1255" Type="http://schemas.openxmlformats.org/officeDocument/2006/relationships/hyperlink" Target="https://mosaic.wd5.myworkdayjobs.com/mosaic/job/US---Bartow-FL/Operations---Automation-Engineering-Co-op-Intern---Spring-2027_64675-1" TargetMode="External"/><Relationship Id="rId1256" Type="http://schemas.openxmlformats.org/officeDocument/2006/relationships/hyperlink" Target="https://mosaic.wd5.myworkdayjobs.com/mosaic/job/US---Mulberry-FL/Water-Balance-Engineer-Co-Op-Intern---Spring-2027_64508-1" TargetMode="External"/><Relationship Id="rId1246" Type="http://schemas.openxmlformats.org/officeDocument/2006/relationships/hyperlink" Target="https://job-boards.greenhouse.io/hpiq/jobs/5622472004" TargetMode="External"/><Relationship Id="rId1247" Type="http://schemas.openxmlformats.org/officeDocument/2006/relationships/hyperlink" Target="https://job-boards.greenhouse.io/incidentiq/jobs/7824038003" TargetMode="External"/><Relationship Id="rId1248" Type="http://schemas.openxmlformats.org/officeDocument/2006/relationships/hyperlink" Target="https://jobs.ashbyhq.com/junior/23ee686b-d305-4ac9-860d-16c99ddb4891/application" TargetMode="External"/><Relationship Id="rId1249" Type="http://schemas.openxmlformats.org/officeDocument/2006/relationships/hyperlink" Target="https://ats.rippling.com/lightguide/jobs/37069bc9-a6ba-4841-97fb-b7d743826af0" TargetMode="External"/><Relationship Id="rId415" Type="http://schemas.openxmlformats.org/officeDocument/2006/relationships/hyperlink" Target="https://blackrock.wd1.myworkdayjobs.com/BlackRock_Early_Careers_Program/job/XMLNAME-2027-Global-Product-Intern-Non-New-York_R265169" TargetMode="External"/><Relationship Id="rId899" Type="http://schemas.openxmlformats.org/officeDocument/2006/relationships/hyperlink" Target="https://jobs.ashbyhq.com/netic/b0ea7aab-8eea-4d31-96f9-278364180ae7/application?embed=true" TargetMode="External"/><Relationship Id="rId414" Type="http://schemas.openxmlformats.org/officeDocument/2006/relationships/hyperlink" Target="https://applyguy.ai/jobs?company=Berkshiregrey&amp;job=5243c947-c874-48dd-98e4-5c7f0cafb5d2" TargetMode="External"/><Relationship Id="rId898" Type="http://schemas.openxmlformats.org/officeDocument/2006/relationships/hyperlink" Target="https://jobs.ashbyhq.com/netic/f291394a-f3c5-4f46-9b87-77aea3d487ef/application?embed=true" TargetMode="External"/><Relationship Id="rId413" Type="http://schemas.openxmlformats.org/officeDocument/2006/relationships/hyperlink" Target="https://egug.fa.us2.oraclecloud.com/hcmUI/CandidateExperience/en/sites/CX_1/job/26012148" TargetMode="External"/><Relationship Id="rId897" Type="http://schemas.openxmlformats.org/officeDocument/2006/relationships/hyperlink" Target="https://jobs.ashbyhq.com/netic/ffd6af1a-cebb-41f5-ac1d-e695adfd067c/application?embed=true" TargetMode="External"/><Relationship Id="rId412" Type="http://schemas.openxmlformats.org/officeDocument/2006/relationships/hyperlink" Target="https://egug.fa.us2.oraclecloud.com/hcmUI/CandidateExperience/en/sites/CX_1/job/26011994" TargetMode="External"/><Relationship Id="rId896" Type="http://schemas.openxmlformats.org/officeDocument/2006/relationships/hyperlink" Target="https://jobs.ashbyhq.com/ctgt/f657c2f5-125e-42b6-a68a-646bbea3d155/application" TargetMode="External"/><Relationship Id="rId419" Type="http://schemas.openxmlformats.org/officeDocument/2006/relationships/hyperlink" Target="https://applyguy.ai/jobs?company=Caterpillar&amp;job=7f823f50-7d80-4cd2-89aa-e66bae32887c" TargetMode="External"/><Relationship Id="rId418" Type="http://schemas.openxmlformats.org/officeDocument/2006/relationships/hyperlink" Target="https://job-boards.greenhouse.io/botauto/jobs/5289440008" TargetMode="External"/><Relationship Id="rId417" Type="http://schemas.openxmlformats.org/officeDocument/2006/relationships/hyperlink" Target="https://jobs.smartrecruiters.com/BoschGroup/744000140317669" TargetMode="External"/><Relationship Id="rId416" Type="http://schemas.openxmlformats.org/officeDocument/2006/relationships/hyperlink" Target="https://jobs.smartrecruiters.com/BoschGroup/744000141302469" TargetMode="External"/><Relationship Id="rId891" Type="http://schemas.openxmlformats.org/officeDocument/2006/relationships/hyperlink" Target="https://job-boards.greenhouse.io/aquaticcapitalmanagement/jobs/8489233002" TargetMode="External"/><Relationship Id="rId890" Type="http://schemas.openxmlformats.org/officeDocument/2006/relationships/hyperlink" Target="https://jobs.apple.com/en-us/details/200663981/hardware-undergrad-engineering-internships" TargetMode="External"/><Relationship Id="rId1240" Type="http://schemas.openxmlformats.org/officeDocument/2006/relationships/hyperlink" Target="https://jobs.ashbyhq.com/heliux/c71c0650-b6f7-491f-b291-6b280f58ee9c" TargetMode="External"/><Relationship Id="rId1241" Type="http://schemas.openxmlformats.org/officeDocument/2006/relationships/hyperlink" Target="https://hendrick.wd5.myworkdayjobs.com/HMSCareers/job/Hendrick-Motorsports/Project-and-Race-Support-Engineer-Spring-2027---Internship_R-81647" TargetMode="External"/><Relationship Id="rId411" Type="http://schemas.openxmlformats.org/officeDocument/2006/relationships/hyperlink" Target="https://careers-affiniuscapital.icims.com/jobs/2284/summer-2027-data-scientist-intern/job" TargetMode="External"/><Relationship Id="rId895" Type="http://schemas.openxmlformats.org/officeDocument/2006/relationships/hyperlink" Target="https://jobs.ashbyhq.com/circleback/2bb6be67-d1a8-42f7-bb1b-64ee36bf613f/application?embed=true" TargetMode="External"/><Relationship Id="rId1242" Type="http://schemas.openxmlformats.org/officeDocument/2006/relationships/hyperlink" Target="https://jobs.lever.co/hermeus/10d69ef6-a754-42ab-833c-76adf01367bf/apply" TargetMode="External"/><Relationship Id="rId410" Type="http://schemas.openxmlformats.org/officeDocument/2006/relationships/hyperlink" Target="https://jobs.smartrecruiters.com/WesternDigital/744000138191379" TargetMode="External"/><Relationship Id="rId894" Type="http://schemas.openxmlformats.org/officeDocument/2006/relationships/hyperlink" Target="https://osv-cci.wd1.myworkdayjobs.com/en-US/CCICareers/job/Stamford-CT/Full-Stack-Software-Engineer-Internship--Summer-2027-_R1350" TargetMode="External"/><Relationship Id="rId1243" Type="http://schemas.openxmlformats.org/officeDocument/2006/relationships/hyperlink" Target="https://jobs.lever.co/hermeus/a3a1f0ea-6a4f-42e5-81c8-3b34dac22a67/apply" TargetMode="External"/><Relationship Id="rId893" Type="http://schemas.openxmlformats.org/officeDocument/2006/relationships/hyperlink" Target="https://jobs.smartrecruiters.com/BoschGroup/744000141338219" TargetMode="External"/><Relationship Id="rId1244" Type="http://schemas.openxmlformats.org/officeDocument/2006/relationships/hyperlink" Target="https://jobs.lever.co/hermeus/49f7cf3f-bf66-44ca-bf97-ee0f7180a68d/apply" TargetMode="External"/><Relationship Id="rId892" Type="http://schemas.openxmlformats.org/officeDocument/2006/relationships/hyperlink" Target="https://job-boards.greenhouse.io/axontalentcommunity/jobs/7800617003" TargetMode="External"/><Relationship Id="rId1245" Type="http://schemas.openxmlformats.org/officeDocument/2006/relationships/hyperlink" Target="https://job-boards.greenhouse.io/horizonindustrieslimited/jobs/5301639008" TargetMode="External"/><Relationship Id="rId1279" Type="http://schemas.openxmlformats.org/officeDocument/2006/relationships/hyperlink" Target="https://specteraerospace.bamboohr.com/careers/120" TargetMode="External"/><Relationship Id="rId448" Type="http://schemas.openxmlformats.org/officeDocument/2006/relationships/hyperlink" Target="https://salesforce.wd12.myworkdayjobs.com/en-US/External_Career_Site/job/AI-Builder--Emerging-Talent_JR341276-1" TargetMode="External"/><Relationship Id="rId447" Type="http://schemas.openxmlformats.org/officeDocument/2006/relationships/hyperlink" Target="https://rockwellautomation.wd1.myworkdayjobs.com/External_Rockwell_Automation/job/Austin-Texas-United-States/Intern--Applied-AI_R26-5631-2" TargetMode="External"/><Relationship Id="rId446" Type="http://schemas.openxmlformats.org/officeDocument/2006/relationships/hyperlink" Target="https://jobs.ashbyhq.com/persona.ai/ed9a7425-9798-471e-b46a-fefd59570630" TargetMode="External"/><Relationship Id="rId445" Type="http://schemas.openxmlformats.org/officeDocument/2006/relationships/hyperlink" Target="https://jobs.ashbyhq.com/persona.ai/fd514a3f-4138-48d5-9862-05ff74a4ca08/application?embed=true" TargetMode="External"/><Relationship Id="rId449" Type="http://schemas.openxmlformats.org/officeDocument/2006/relationships/hyperlink" Target="https://salesforce.wd12.myworkdayjobs.com/External_Career_Site/job/California---San-Francisco/Summer-2027-Intern---Associate-Product-Manager--APM-_JR348039-1" TargetMode="External"/><Relationship Id="rId1270" Type="http://schemas.openxmlformats.org/officeDocument/2006/relationships/hyperlink" Target="https://job-boards.greenhouse.io/rendezvousrobotics/jobs/4329118009" TargetMode="External"/><Relationship Id="rId440" Type="http://schemas.openxmlformats.org/officeDocument/2006/relationships/hyperlink" Target="https://pod4.app.loxo.co/job/Mzk2ODktbmxudnJmeGRuOXM0OHE3ZA==" TargetMode="External"/><Relationship Id="rId1271" Type="http://schemas.openxmlformats.org/officeDocument/2006/relationships/hyperlink" Target="https://job-boards.greenhouse.io/rendezvousrobotics/jobs/4332082009" TargetMode="External"/><Relationship Id="rId1272" Type="http://schemas.openxmlformats.org/officeDocument/2006/relationships/hyperlink" Target="https://job-boards.greenhouse.io/rendezvousrobotics/jobs/4329123009" TargetMode="External"/><Relationship Id="rId1273" Type="http://schemas.openxmlformats.org/officeDocument/2006/relationships/hyperlink" Target="https://jobs.ashbyhq.com/reviserobotics/7b0426d4-cf8c-4fdf-98a8-5a0360706633" TargetMode="External"/><Relationship Id="rId1274" Type="http://schemas.openxmlformats.org/officeDocument/2006/relationships/hyperlink" Target="https://jobs.ashbyhq.com/rivianvw.tech/4dfbf1e6-3778-4101-8ac7-cd4015d47eff" TargetMode="External"/><Relationship Id="rId444" Type="http://schemas.openxmlformats.org/officeDocument/2006/relationships/hyperlink" Target="https://jobs.ashbyhq.com/opusclip/1966160d-8b4a-40f8-96c5-39a6d81122c2/application" TargetMode="External"/><Relationship Id="rId1275" Type="http://schemas.openxmlformats.org/officeDocument/2006/relationships/hyperlink" Target="https://job-boards.greenhouse.io/rocketlab/jobs/7733900003" TargetMode="External"/><Relationship Id="rId443" Type="http://schemas.openxmlformats.org/officeDocument/2006/relationships/hyperlink" Target="https://omers.wd3.myworkdayjobs.com/en-US/omers_external/job/New-York-New-York/Student--AI-Enablement---Adoption-Specialist--Fall-2026--4-Months----New-York_JR-8159" TargetMode="External"/><Relationship Id="rId1276" Type="http://schemas.openxmlformats.org/officeDocument/2006/relationships/hyperlink" Target="https://jobs.ashbyhq.com/saronic/18055a6f-030f-41ef-9116-7ffffac15f68" TargetMode="External"/><Relationship Id="rId442" Type="http://schemas.openxmlformats.org/officeDocument/2006/relationships/hyperlink" Target="https://marvell.wd1.myworkdayjobs.com/en-US/marvellcareers2/job/Santa-Clara-CA/Applied-Machine-Learning-Scientist-Intern---PhD_2502662" TargetMode="External"/><Relationship Id="rId1277" Type="http://schemas.openxmlformats.org/officeDocument/2006/relationships/hyperlink" Target="https://jobs.ashbyhq.com/saronic/1c74957f-0895-415b-9324-08b0994747d7" TargetMode="External"/><Relationship Id="rId441" Type="http://schemas.openxmlformats.org/officeDocument/2006/relationships/hyperlink" Target="https://ats.rippling.com/lightguide/jobs/1675cecb-fa30-4ea6-9946-7f8a4ac83408" TargetMode="External"/><Relationship Id="rId1278" Type="http://schemas.openxmlformats.org/officeDocument/2006/relationships/hyperlink" Target="https://job-boards.greenhouse.io/sparksoftcorporation/jobs/5199580007" TargetMode="External"/><Relationship Id="rId1268" Type="http://schemas.openxmlformats.org/officeDocument/2006/relationships/hyperlink" Target="https://jobs.lever.co/make-rain/3d4f859f-f2dd-4f2d-b15b-675e0d62a37b" TargetMode="External"/><Relationship Id="rId1269" Type="http://schemas.openxmlformats.org/officeDocument/2006/relationships/hyperlink" Target="https://jobs.ashbyhq.com/reframesystems/f5275832-8373-4971-b5f6-6aaececcb061" TargetMode="External"/><Relationship Id="rId437" Type="http://schemas.openxmlformats.org/officeDocument/2006/relationships/hyperlink" Target="https://intel.wd1.myworkdayjobs.com/External/job/US-Arizona-Phoenix/AI-Software-Engineering-Intern_JR0282641" TargetMode="External"/><Relationship Id="rId436" Type="http://schemas.openxmlformats.org/officeDocument/2006/relationships/hyperlink" Target="https://intel.wd1.myworkdayjobs.com/External/job/US-Oregon-Hillsboro/AI-Software-Engineering-Intern_JR0282639" TargetMode="External"/><Relationship Id="rId435" Type="http://schemas.openxmlformats.org/officeDocument/2006/relationships/hyperlink" Target="https://simplify.jobs/p/e18b5659-3658-49dd-a554-9ba2b49123a9" TargetMode="External"/><Relationship Id="rId434" Type="http://schemas.openxmlformats.org/officeDocument/2006/relationships/hyperlink" Target="https://simplify.jobs/p/438a49bd-1732-4815-b2b2-e048f205949f" TargetMode="External"/><Relationship Id="rId439" Type="http://schemas.openxmlformats.org/officeDocument/2006/relationships/hyperlink" Target="http://www.ipam.ucla.edu/programs/student-research-programs/" TargetMode="External"/><Relationship Id="rId438" Type="http://schemas.openxmlformats.org/officeDocument/2006/relationships/hyperlink" Target="https://intel.wd1.myworkdayjobs.com/en-US/external/job/US-California-Folsom/SOC-AI-Power-and-Performance-Validation-Undergrad-Intern_JR0285242-1" TargetMode="External"/><Relationship Id="rId1260" Type="http://schemas.openxmlformats.org/officeDocument/2006/relationships/hyperlink" Target="https://nidec.wd1.myworkdayjobs.com/nidec/job/North-AmericaUSAMissouriSt-Louis---WPE-MO/Test-Lab-Engineer-Co-op_R0016732" TargetMode="External"/><Relationship Id="rId1261" Type="http://schemas.openxmlformats.org/officeDocument/2006/relationships/hyperlink" Target="https://novanta.wd5.myworkdayjobs.com/Novanta-Careers/job/Apex-NC/Intern-Engineering_R009484" TargetMode="External"/><Relationship Id="rId1262" Type="http://schemas.openxmlformats.org/officeDocument/2006/relationships/hyperlink" Target="https://jobs.ashbyhq.com/odin-dynamics/db6fe6ed-3517-423d-a757-3b6edea4b51d/application" TargetMode="External"/><Relationship Id="rId1263" Type="http://schemas.openxmlformats.org/officeDocument/2006/relationships/hyperlink" Target="https://jobs.ashbyhq.com/persona.ai/a68c0823-0b61-4741-9fbc-a1f6d701e4ed" TargetMode="External"/><Relationship Id="rId433" Type="http://schemas.openxmlformats.org/officeDocument/2006/relationships/hyperlink" Target="https://intel.wd1.myworkdayjobs.com/External/job/US-Oregon-Hillsboro/AI-Security-Engineering-Intern_JR0285140" TargetMode="External"/><Relationship Id="rId1264" Type="http://schemas.openxmlformats.org/officeDocument/2006/relationships/hyperlink" Target="https://jobs.ashbyhq.com/persona.ai/6078fafd-ba34-4c89-b260-7eb15be3cb9c" TargetMode="External"/><Relationship Id="rId432" Type="http://schemas.openxmlformats.org/officeDocument/2006/relationships/hyperlink" Target="https://www.imc.com/us/careers/jobs/4907400101" TargetMode="External"/><Relationship Id="rId1265" Type="http://schemas.openxmlformats.org/officeDocument/2006/relationships/hyperlink" Target="https://applyguy.ai/jobs?company=Pivotal&amp;job=049c65cc-9a89-45ab-8568-c9d03df4ece7" TargetMode="External"/><Relationship Id="rId431" Type="http://schemas.openxmlformats.org/officeDocument/2006/relationships/hyperlink" Target="https://www.imc.com/us/careers/jobs/4907399101" TargetMode="External"/><Relationship Id="rId1266" Type="http://schemas.openxmlformats.org/officeDocument/2006/relationships/hyperlink" Target="https://prospectequities.applytojob.com/apply/XTbzSAcNtg" TargetMode="External"/><Relationship Id="rId430" Type="http://schemas.openxmlformats.org/officeDocument/2006/relationships/hyperlink" Target="https://jobs.ashbyhq.com/gritt/5c4737ce-f546-453b-b30d-791a121fb9fd/application" TargetMode="External"/><Relationship Id="rId1267" Type="http://schemas.openxmlformats.org/officeDocument/2006/relationships/hyperlink" Target="https://job-boards.greenhouse.io/queracomputinginc/jobs/537031200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zapplyjobs/Internships-2027" TargetMode="External"/><Relationship Id="rId2" Type="http://schemas.openxmlformats.org/officeDocument/2006/relationships/hyperlink" Target="https://github.com/speedyapply/2027-AI-College-Jobs" TargetMode="External"/><Relationship Id="rId3" Type="http://schemas.openxmlformats.org/officeDocument/2006/relationships/hyperlink" Target="https://github.com/SuryaHarikrishnan/internship-tracker/blob/master/listings/data-science-ai-machine-learning.md" TargetMode="External"/><Relationship Id="rId4" Type="http://schemas.openxmlformats.org/officeDocument/2006/relationships/hyperlink" Target="https://github.com/GodlyDonuts/keryx/blob/main/internships/fall-2026.md" TargetMode="External"/><Relationship Id="rId9" Type="http://schemas.openxmlformats.org/officeDocument/2006/relationships/hyperlink" Target="https://github.com/speedyapply/2027-SWE-College-Jobs" TargetMode="External"/><Relationship Id="rId5" Type="http://schemas.openxmlformats.org/officeDocument/2006/relationships/hyperlink" Target="https://github.com/skarazan/southeast-tech-internships-2026-2027" TargetMode="External"/><Relationship Id="rId6" Type="http://schemas.openxmlformats.org/officeDocument/2006/relationships/hyperlink" Target="https://github.com/DereC4/internships-and-newgrad" TargetMode="External"/><Relationship Id="rId7" Type="http://schemas.openxmlformats.org/officeDocument/2006/relationships/hyperlink" Target="https://github.com/ApplyGuy/2027-Internships" TargetMode="External"/><Relationship Id="rId8" Type="http://schemas.openxmlformats.org/officeDocument/2006/relationships/hyperlink" Target="https://github.com/vanshb03/Summer2027-Internships" TargetMode="External"/><Relationship Id="rId40" Type="http://schemas.openxmlformats.org/officeDocument/2006/relationships/hyperlink" Target="https://job-boards.greenhouse.io/verkada" TargetMode="External"/><Relationship Id="rId42" Type="http://schemas.openxmlformats.org/officeDocument/2006/relationships/hyperlink" Target="https://job-boards.greenhouse.io/figureai" TargetMode="External"/><Relationship Id="rId41" Type="http://schemas.openxmlformats.org/officeDocument/2006/relationships/hyperlink" Target="https://builtin.com/job/software-engineer-intern-summer-2027-chicago/10031680" TargetMode="External"/><Relationship Id="rId44" Type="http://schemas.openxmlformats.org/officeDocument/2006/relationships/hyperlink" Target="https://boards-api.greenhouse.io/v1/boards/nuro/jobs" TargetMode="External"/><Relationship Id="rId43" Type="http://schemas.openxmlformats.org/officeDocument/2006/relationships/hyperlink" Target="https://www.skydio.com/careers" TargetMode="External"/><Relationship Id="rId46" Type="http://schemas.openxmlformats.org/officeDocument/2006/relationships/hyperlink" Target="https://github.com/vanshb03/Summer2027-Internships/blob/main/README.md" TargetMode="External"/><Relationship Id="rId45" Type="http://schemas.openxmlformats.org/officeDocument/2006/relationships/hyperlink" Target="https://github.com/vanshb03/Summer2027-Internships/blob/dev/README.md" TargetMode="External"/><Relationship Id="rId48" Type="http://schemas.openxmlformats.org/officeDocument/2006/relationships/hyperlink" Target="https://jobs.ashbyhq.com/rivianvw.tech" TargetMode="External"/><Relationship Id="rId47" Type="http://schemas.openxmlformats.org/officeDocument/2006/relationships/hyperlink" Target="https://jobs.ashbyhq.com/saronic" TargetMode="External"/><Relationship Id="rId49" Type="http://schemas.openxmlformats.org/officeDocument/2006/relationships/hyperlink" Target="https://jobs.ashbyhq.com/deepgram" TargetMode="External"/><Relationship Id="rId31" Type="http://schemas.openxmlformats.org/officeDocument/2006/relationships/hyperlink" Target="https://nvidia.wd5.myworkdayjobs.com/en-US/NVIDIAExternalCareerSite" TargetMode="External"/><Relationship Id="rId30" Type="http://schemas.openxmlformats.org/officeDocument/2006/relationships/hyperlink" Target="https://github.com/skarazan/southeast-tech-internships-2026-2027" TargetMode="External"/><Relationship Id="rId33" Type="http://schemas.openxmlformats.org/officeDocument/2006/relationships/hyperlink" Target="https://simplify.jobs/l/Internships-in-SF-Bay-Area" TargetMode="External"/><Relationship Id="rId32" Type="http://schemas.openxmlformats.org/officeDocument/2006/relationships/hyperlink" Target="https://github.com/GodlyDonuts/keryx/blob/main/internships/spring-2027.md" TargetMode="External"/><Relationship Id="rId35" Type="http://schemas.openxmlformats.org/officeDocument/2006/relationships/hyperlink" Target="https://github.com/GodlyDonuts/keryx/blob/main/internships/summer-2027.md" TargetMode="External"/><Relationship Id="rId34" Type="http://schemas.openxmlformats.org/officeDocument/2006/relationships/hyperlink" Target="https://job-boards.greenhouse.io/togetherai" TargetMode="External"/><Relationship Id="rId37" Type="http://schemas.openxmlformats.org/officeDocument/2006/relationships/hyperlink" Target="https://github.com/zapplyjobs/Internships-2027" TargetMode="External"/><Relationship Id="rId36" Type="http://schemas.openxmlformats.org/officeDocument/2006/relationships/hyperlink" Target="https://job-boards.greenhouse.io/kodiak" TargetMode="External"/><Relationship Id="rId39" Type="http://schemas.openxmlformats.org/officeDocument/2006/relationships/hyperlink" Target="https://simplify.jobs/l/Top-Summer-Internships-2027" TargetMode="External"/><Relationship Id="rId38" Type="http://schemas.openxmlformats.org/officeDocument/2006/relationships/hyperlink" Target="https://github.com/vanshb03/Summer2027-Internships/blob/dev/OFFSEASON_README.md" TargetMode="External"/><Relationship Id="rId20" Type="http://schemas.openxmlformats.org/officeDocument/2006/relationships/hyperlink" Target="https://github.com/speedyapply/2027-SWE-College-Jobs" TargetMode="External"/><Relationship Id="rId22" Type="http://schemas.openxmlformats.org/officeDocument/2006/relationships/hyperlink" Target="https://github.com/zapplyjobs/Internships-2027" TargetMode="External"/><Relationship Id="rId21" Type="http://schemas.openxmlformats.org/officeDocument/2006/relationships/hyperlink" Target="https://github.com/vanshb03/Summer2027-Internships/blob/main/OFFSEASON_README.md" TargetMode="External"/><Relationship Id="rId24" Type="http://schemas.openxmlformats.org/officeDocument/2006/relationships/hyperlink" Target="https://github.com/jobright-ai/2026-Software-Engineer-Internship" TargetMode="External"/><Relationship Id="rId23" Type="http://schemas.openxmlformats.org/officeDocument/2006/relationships/hyperlink" Target="https://github.com/vanshb03/Summer2027-Internships/blob/dev/OFFSEASON_README.md" TargetMode="External"/><Relationship Id="rId26" Type="http://schemas.openxmlformats.org/officeDocument/2006/relationships/hyperlink" Target="https://www.builtinsf.com/jobs/search/software-engineer-intern" TargetMode="External"/><Relationship Id="rId25" Type="http://schemas.openxmlformats.org/officeDocument/2006/relationships/hyperlink" Target="https://github.com/GodlyDonuts/keryx/blob/main/internships/unscheduled.md" TargetMode="External"/><Relationship Id="rId28" Type="http://schemas.openxmlformats.org/officeDocument/2006/relationships/hyperlink" Target="https://github.com/DereC4/internships-and-newgrad" TargetMode="External"/><Relationship Id="rId27" Type="http://schemas.openxmlformats.org/officeDocument/2006/relationships/hyperlink" Target="https://simplify.jobs/l/Big-Tech-Internships" TargetMode="External"/><Relationship Id="rId29" Type="http://schemas.openxmlformats.org/officeDocument/2006/relationships/hyperlink" Target="https://github.com/ApplyGuy/2027-Internships/blob/main/data/internships.json" TargetMode="External"/><Relationship Id="rId11" Type="http://schemas.openxmlformats.org/officeDocument/2006/relationships/hyperlink" Target="https://github.com/sndsh404/summer-2027-internships" TargetMode="External"/><Relationship Id="rId10" Type="http://schemas.openxmlformats.org/officeDocument/2006/relationships/hyperlink" Target="https://github.com/zapplyjobs/Internships-2027" TargetMode="External"/><Relationship Id="rId13" Type="http://schemas.openxmlformats.org/officeDocument/2006/relationships/hyperlink" Target="https://github.com/SimplifyJobs/Summer2027-Internships" TargetMode="External"/><Relationship Id="rId12" Type="http://schemas.openxmlformats.org/officeDocument/2006/relationships/hyperlink" Target="https://github.com/SimplifyJobs/Summer2027-Internships/blob/dev/README-Off-Season.md" TargetMode="External"/><Relationship Id="rId15" Type="http://schemas.openxmlformats.org/officeDocument/2006/relationships/hyperlink" Target="https://github.com/SimplifyJobs/Summer2027-Internships" TargetMode="External"/><Relationship Id="rId14" Type="http://schemas.openxmlformats.org/officeDocument/2006/relationships/hyperlink" Target="https://github.com/sndsh404/summer-2027-internships" TargetMode="External"/><Relationship Id="rId17" Type="http://schemas.openxmlformats.org/officeDocument/2006/relationships/hyperlink" Target="https://github.com/zapplyjobs/Internships-2027" TargetMode="External"/><Relationship Id="rId16" Type="http://schemas.openxmlformats.org/officeDocument/2006/relationships/hyperlink" Target="https://github.com/dreamworkhq/Open-Tech-Internships-2027" TargetMode="External"/><Relationship Id="rId19" Type="http://schemas.openxmlformats.org/officeDocument/2006/relationships/hyperlink" Target="https://github.com/zshah101/Automated-List-Of-Summer-2027-and-Fall-2026-Tech-Internships" TargetMode="External"/><Relationship Id="rId18" Type="http://schemas.openxmlformats.org/officeDocument/2006/relationships/hyperlink" Target="https://github.com/northwesternfintech/2027QuantInternships" TargetMode="External"/><Relationship Id="rId62" Type="http://schemas.openxmlformats.org/officeDocument/2006/relationships/hyperlink" Target="https://jobs.ashbyhq.com/sunday" TargetMode="External"/><Relationship Id="rId61" Type="http://schemas.openxmlformats.org/officeDocument/2006/relationships/hyperlink" Target="https://jobs.ashbyhq.com/reviserobotics" TargetMode="External"/><Relationship Id="rId64" Type="http://schemas.openxmlformats.org/officeDocument/2006/relationships/drawing" Target="../drawings/drawing4.xml"/><Relationship Id="rId63" Type="http://schemas.openxmlformats.org/officeDocument/2006/relationships/hyperlink" Target="https://jobs.ashbyhq.com/zip" TargetMode="External"/><Relationship Id="rId60" Type="http://schemas.openxmlformats.org/officeDocument/2006/relationships/hyperlink" Target="https://jobs.ashbyhq.com/junior" TargetMode="External"/><Relationship Id="rId51" Type="http://schemas.openxmlformats.org/officeDocument/2006/relationships/hyperlink" Target="https://jobs.ashbyhq.com/etched" TargetMode="External"/><Relationship Id="rId50" Type="http://schemas.openxmlformats.org/officeDocument/2006/relationships/hyperlink" Target="https://www.builtinboston.com/job/summer-2027-intern-software-engineer/9287543" TargetMode="External"/><Relationship Id="rId53" Type="http://schemas.openxmlformats.org/officeDocument/2006/relationships/hyperlink" Target="https://job-boards.greenhouse.io/samsungresearchamericainternship" TargetMode="External"/><Relationship Id="rId52" Type="http://schemas.openxmlformats.org/officeDocument/2006/relationships/hyperlink" Target="https://job-boards.greenhouse.io/nationalpublicradioinc" TargetMode="External"/><Relationship Id="rId55" Type="http://schemas.openxmlformats.org/officeDocument/2006/relationships/hyperlink" Target="https://github.com/GodlyDonuts/keryx/blob/main/internships/winter-2027.md" TargetMode="External"/><Relationship Id="rId54" Type="http://schemas.openxmlformats.org/officeDocument/2006/relationships/hyperlink" Target="https://job-boards.greenhouse.io/stackadapt-confidential/jobs/4236607009" TargetMode="External"/><Relationship Id="rId57" Type="http://schemas.openxmlformats.org/officeDocument/2006/relationships/hyperlink" Target="https://job-boards.greenhouse.io/dvtrading/jobs/4719118005" TargetMode="External"/><Relationship Id="rId56" Type="http://schemas.openxmlformats.org/officeDocument/2006/relationships/hyperlink" Target="https://capitalone.wd12.myworkdayjobs.com/en-US/Capital_One" TargetMode="External"/><Relationship Id="rId59" Type="http://schemas.openxmlformats.org/officeDocument/2006/relationships/hyperlink" Target="https://job-boards.greenhouse.io/hpiq/jobs/5622472004" TargetMode="External"/><Relationship Id="rId58" Type="http://schemas.openxmlformats.org/officeDocument/2006/relationships/hyperlink" Target="https://ciena.wd5.myworkdayjobs.com/en-US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104.0"/>
    <col customWidth="1" min="4" max="26" width="8.71"/>
  </cols>
  <sheetData>
    <row r="2">
      <c r="B2" s="1" t="s">
        <v>0</v>
      </c>
    </row>
    <row r="3">
      <c r="B3" s="2" t="s">
        <v>1</v>
      </c>
    </row>
    <row r="5">
      <c r="B5" s="4" t="s">
        <v>3</v>
      </c>
      <c r="C5" s="6" t="s">
        <v>7</v>
      </c>
    </row>
    <row r="7">
      <c r="B7" s="4" t="s">
        <v>11</v>
      </c>
      <c r="C7" s="6" t="s">
        <v>14</v>
      </c>
    </row>
    <row r="9">
      <c r="B9" s="4" t="s">
        <v>16</v>
      </c>
      <c r="C9" s="6" t="s">
        <v>18</v>
      </c>
    </row>
    <row r="10">
      <c r="B10" s="10" t="s">
        <v>20</v>
      </c>
      <c r="C10" s="12" t="s">
        <v>25</v>
      </c>
    </row>
    <row r="11">
      <c r="B11" s="10" t="s">
        <v>29</v>
      </c>
      <c r="C11" s="12" t="s">
        <v>31</v>
      </c>
    </row>
    <row r="12">
      <c r="B12" s="14" t="s">
        <v>33</v>
      </c>
      <c r="C12" s="12" t="s">
        <v>36</v>
      </c>
    </row>
    <row r="13">
      <c r="B13" s="16" t="s">
        <v>39</v>
      </c>
      <c r="C13" s="12" t="s">
        <v>41</v>
      </c>
    </row>
    <row r="15">
      <c r="B15" s="4" t="s">
        <v>43</v>
      </c>
      <c r="C15" s="6" t="s">
        <v>45</v>
      </c>
    </row>
    <row r="17">
      <c r="B17" s="4" t="s">
        <v>47</v>
      </c>
      <c r="C17" s="6" t="s">
        <v>48</v>
      </c>
    </row>
    <row r="18">
      <c r="C18" s="21" t="s">
        <v>50</v>
      </c>
    </row>
    <row r="19">
      <c r="C19" s="23" t="s">
        <v>53</v>
      </c>
    </row>
    <row r="21" ht="15.75" customHeight="1">
      <c r="B21" s="4" t="s">
        <v>58</v>
      </c>
      <c r="C21" s="6" t="s">
        <v>60</v>
      </c>
    </row>
    <row r="22" ht="15.75" customHeight="1"/>
    <row r="23" ht="15.75" customHeight="1">
      <c r="C23" s="12" t="s">
        <v>61</v>
      </c>
    </row>
    <row r="24" ht="15.75" customHeight="1"/>
    <row r="25" ht="15.75" customHeight="1">
      <c r="B25" s="4" t="s">
        <v>62</v>
      </c>
      <c r="C25" s="6" t="s">
        <v>64</v>
      </c>
    </row>
    <row r="26" ht="15.75" customHeight="1">
      <c r="C26" s="12" t="s">
        <v>65</v>
      </c>
    </row>
    <row r="27" ht="15.75" customHeight="1">
      <c r="C27" s="12" t="s">
        <v>67</v>
      </c>
    </row>
    <row r="28" ht="15.75" customHeight="1">
      <c r="C28" s="12" t="s">
        <v>68</v>
      </c>
    </row>
    <row r="29" ht="15.75" customHeight="1">
      <c r="C29" s="12" t="s">
        <v>70</v>
      </c>
    </row>
    <row r="30" ht="15.75" customHeight="1">
      <c r="C30" s="12" t="s">
        <v>71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9.0"/>
    <col customWidth="1" min="2" max="2" width="6.0"/>
    <col customWidth="1" min="3" max="3" width="24.0"/>
    <col customWidth="1" min="4" max="4" width="46.0"/>
    <col customWidth="1" min="5" max="5" width="13.0"/>
    <col customWidth="1" min="6" max="6" width="26.0"/>
    <col customWidth="1" min="7" max="7" width="12.0"/>
    <col customWidth="1" min="8" max="8" width="42.0"/>
    <col customWidth="1" min="9" max="9" width="46.0"/>
    <col customWidth="1" min="10" max="10" width="11.0"/>
    <col customWidth="1" min="11" max="11" width="26.0"/>
    <col customWidth="1" min="12" max="12" width="34.0"/>
    <col customWidth="1" min="13" max="13" width="15.0"/>
    <col customWidth="1" min="14" max="14" width="13.0"/>
    <col customWidth="1" min="15" max="15" width="22.0"/>
    <col customWidth="1" min="16" max="16" width="14.0"/>
    <col customWidth="1" min="17" max="17" width="40.0"/>
  </cols>
  <sheetData>
    <row r="1" ht="30.0" customHeight="1">
      <c r="A1" s="3" t="s">
        <v>6</v>
      </c>
      <c r="B1" s="3" t="s">
        <v>9</v>
      </c>
      <c r="C1" s="3" t="s">
        <v>12</v>
      </c>
      <c r="D1" s="3" t="s">
        <v>17</v>
      </c>
      <c r="E1" s="3" t="s">
        <v>19</v>
      </c>
      <c r="F1" s="3" t="s">
        <v>21</v>
      </c>
      <c r="G1" s="3" t="s">
        <v>22</v>
      </c>
      <c r="H1" s="3" t="s">
        <v>24</v>
      </c>
      <c r="I1" s="3" t="s">
        <v>26</v>
      </c>
      <c r="J1" s="3" t="s">
        <v>27</v>
      </c>
      <c r="K1" s="3" t="s">
        <v>2</v>
      </c>
      <c r="L1" s="3" t="s">
        <v>30</v>
      </c>
      <c r="M1" s="13" t="s">
        <v>32</v>
      </c>
      <c r="N1" s="13" t="s">
        <v>34</v>
      </c>
      <c r="O1" s="13" t="s">
        <v>35</v>
      </c>
      <c r="P1" s="13" t="s">
        <v>37</v>
      </c>
      <c r="Q1" s="13" t="s">
        <v>38</v>
      </c>
    </row>
    <row r="2" hidden="1">
      <c r="A2" s="17" t="s">
        <v>20</v>
      </c>
      <c r="B2" s="9" t="s">
        <v>44</v>
      </c>
      <c r="C2" s="19" t="s">
        <v>46</v>
      </c>
      <c r="D2" s="22" t="s">
        <v>49</v>
      </c>
      <c r="E2" s="19" t="s">
        <v>54</v>
      </c>
      <c r="F2" s="19" t="s">
        <v>55</v>
      </c>
      <c r="G2" s="19" t="s">
        <v>57</v>
      </c>
      <c r="H2" s="24" t="s">
        <v>59</v>
      </c>
      <c r="I2" s="25" t="s">
        <v>63</v>
      </c>
      <c r="J2" s="19"/>
      <c r="K2" s="19" t="s">
        <v>13</v>
      </c>
      <c r="L2" s="22" t="s">
        <v>76</v>
      </c>
      <c r="M2" s="26"/>
      <c r="N2" s="26"/>
      <c r="O2" s="26"/>
      <c r="P2" s="26"/>
      <c r="Q2" s="26"/>
    </row>
    <row r="3">
      <c r="A3" s="17" t="s">
        <v>20</v>
      </c>
      <c r="B3" s="9" t="s">
        <v>83</v>
      </c>
      <c r="C3" s="19" t="s">
        <v>84</v>
      </c>
      <c r="D3" s="22" t="s">
        <v>86</v>
      </c>
      <c r="E3" s="19" t="s">
        <v>88</v>
      </c>
      <c r="F3" s="19" t="s">
        <v>89</v>
      </c>
      <c r="G3" s="19" t="s">
        <v>90</v>
      </c>
      <c r="H3" s="24" t="s">
        <v>59</v>
      </c>
      <c r="I3" s="25" t="s">
        <v>91</v>
      </c>
      <c r="J3" s="19" t="s">
        <v>95</v>
      </c>
      <c r="K3" s="19" t="s">
        <v>52</v>
      </c>
      <c r="L3" s="22" t="s">
        <v>98</v>
      </c>
      <c r="M3" s="26"/>
      <c r="N3" s="26"/>
      <c r="O3" s="26"/>
      <c r="P3" s="26"/>
      <c r="Q3" s="26"/>
    </row>
    <row r="4">
      <c r="A4" s="17" t="s">
        <v>20</v>
      </c>
      <c r="B4" s="9" t="s">
        <v>83</v>
      </c>
      <c r="C4" s="19" t="s">
        <v>84</v>
      </c>
      <c r="D4" s="22" t="s">
        <v>102</v>
      </c>
      <c r="E4" s="19" t="s">
        <v>88</v>
      </c>
      <c r="F4" s="19" t="s">
        <v>103</v>
      </c>
      <c r="G4" s="19" t="s">
        <v>90</v>
      </c>
      <c r="H4" s="24" t="s">
        <v>59</v>
      </c>
      <c r="I4" s="25" t="s">
        <v>104</v>
      </c>
      <c r="J4" s="19"/>
      <c r="K4" s="19" t="s">
        <v>40</v>
      </c>
      <c r="L4" s="22" t="s">
        <v>108</v>
      </c>
      <c r="M4" s="26"/>
      <c r="N4" s="26"/>
      <c r="O4" s="26"/>
      <c r="P4" s="26"/>
      <c r="Q4" s="26"/>
    </row>
    <row r="5">
      <c r="A5" s="17" t="s">
        <v>20</v>
      </c>
      <c r="B5" s="9" t="s">
        <v>83</v>
      </c>
      <c r="C5" s="19" t="s">
        <v>84</v>
      </c>
      <c r="D5" s="22" t="s">
        <v>102</v>
      </c>
      <c r="E5" s="19" t="s">
        <v>88</v>
      </c>
      <c r="F5" s="19" t="s">
        <v>89</v>
      </c>
      <c r="G5" s="19" t="s">
        <v>90</v>
      </c>
      <c r="H5" s="24" t="s">
        <v>59</v>
      </c>
      <c r="I5" s="25" t="s">
        <v>113</v>
      </c>
      <c r="J5" s="19"/>
      <c r="K5" s="19" t="s">
        <v>40</v>
      </c>
      <c r="L5" s="22" t="s">
        <v>108</v>
      </c>
      <c r="M5" s="26"/>
      <c r="N5" s="26"/>
      <c r="O5" s="26"/>
      <c r="P5" s="26"/>
      <c r="Q5" s="26"/>
    </row>
    <row r="6">
      <c r="A6" s="17" t="s">
        <v>20</v>
      </c>
      <c r="B6" s="9" t="s">
        <v>83</v>
      </c>
      <c r="C6" s="19" t="s">
        <v>84</v>
      </c>
      <c r="D6" s="22" t="s">
        <v>120</v>
      </c>
      <c r="E6" s="19" t="s">
        <v>88</v>
      </c>
      <c r="F6" s="19" t="s">
        <v>89</v>
      </c>
      <c r="G6" s="19" t="s">
        <v>90</v>
      </c>
      <c r="H6" s="24" t="s">
        <v>59</v>
      </c>
      <c r="I6" s="25" t="s">
        <v>123</v>
      </c>
      <c r="J6" s="19"/>
      <c r="K6" s="19" t="s">
        <v>112</v>
      </c>
      <c r="L6" s="22" t="s">
        <v>128</v>
      </c>
      <c r="M6" s="26"/>
      <c r="N6" s="26"/>
      <c r="O6" s="26"/>
      <c r="P6" s="26"/>
      <c r="Q6" s="26"/>
    </row>
    <row r="7">
      <c r="A7" s="17" t="s">
        <v>20</v>
      </c>
      <c r="B7" s="9" t="s">
        <v>83</v>
      </c>
      <c r="C7" s="19" t="s">
        <v>84</v>
      </c>
      <c r="D7" s="22" t="s">
        <v>132</v>
      </c>
      <c r="E7" s="19" t="s">
        <v>88</v>
      </c>
      <c r="F7" s="19" t="s">
        <v>134</v>
      </c>
      <c r="G7" s="19" t="s">
        <v>90</v>
      </c>
      <c r="H7" s="24" t="s">
        <v>59</v>
      </c>
      <c r="I7" s="25" t="s">
        <v>136</v>
      </c>
      <c r="J7" s="19" t="s">
        <v>140</v>
      </c>
      <c r="K7" s="19" t="s">
        <v>114</v>
      </c>
      <c r="L7" s="22" t="s">
        <v>128</v>
      </c>
      <c r="M7" s="26"/>
      <c r="N7" s="26"/>
      <c r="O7" s="26"/>
      <c r="P7" s="26"/>
      <c r="Q7" s="26"/>
    </row>
    <row r="8" hidden="1">
      <c r="A8" s="17" t="s">
        <v>20</v>
      </c>
      <c r="B8" s="9" t="s">
        <v>144</v>
      </c>
      <c r="C8" s="19" t="s">
        <v>46</v>
      </c>
      <c r="D8" s="22" t="s">
        <v>147</v>
      </c>
      <c r="E8" s="19" t="s">
        <v>88</v>
      </c>
      <c r="F8" s="19" t="s">
        <v>55</v>
      </c>
      <c r="G8" s="19" t="s">
        <v>57</v>
      </c>
      <c r="H8" s="24" t="s">
        <v>59</v>
      </c>
      <c r="I8" s="25" t="s">
        <v>151</v>
      </c>
      <c r="J8" s="19" t="s">
        <v>157</v>
      </c>
      <c r="K8" s="19" t="s">
        <v>152</v>
      </c>
      <c r="L8" s="22" t="s">
        <v>160</v>
      </c>
      <c r="M8" s="26"/>
      <c r="N8" s="26"/>
      <c r="O8" s="26"/>
      <c r="P8" s="26"/>
      <c r="Q8" s="26"/>
    </row>
    <row r="9" hidden="1">
      <c r="A9" s="17" t="s">
        <v>20</v>
      </c>
      <c r="B9" s="9" t="s">
        <v>144</v>
      </c>
      <c r="C9" s="19" t="s">
        <v>46</v>
      </c>
      <c r="D9" s="22" t="s">
        <v>169</v>
      </c>
      <c r="E9" s="19" t="s">
        <v>88</v>
      </c>
      <c r="F9" s="19" t="s">
        <v>55</v>
      </c>
      <c r="G9" s="19" t="s">
        <v>57</v>
      </c>
      <c r="H9" s="24" t="s">
        <v>59</v>
      </c>
      <c r="I9" s="25" t="s">
        <v>170</v>
      </c>
      <c r="J9" s="19" t="s">
        <v>176</v>
      </c>
      <c r="K9" s="19" t="s">
        <v>177</v>
      </c>
      <c r="L9" s="22" t="s">
        <v>178</v>
      </c>
      <c r="M9" s="26"/>
      <c r="N9" s="26"/>
      <c r="O9" s="26"/>
      <c r="P9" s="26"/>
      <c r="Q9" s="26"/>
    </row>
    <row r="10" hidden="1">
      <c r="A10" s="17" t="s">
        <v>20</v>
      </c>
      <c r="B10" s="9" t="s">
        <v>144</v>
      </c>
      <c r="C10" s="19" t="s">
        <v>46</v>
      </c>
      <c r="D10" s="22" t="s">
        <v>185</v>
      </c>
      <c r="E10" s="19" t="s">
        <v>88</v>
      </c>
      <c r="F10" s="19" t="s">
        <v>186</v>
      </c>
      <c r="G10" s="19" t="s">
        <v>57</v>
      </c>
      <c r="H10" s="24" t="s">
        <v>59</v>
      </c>
      <c r="I10" s="25" t="s">
        <v>190</v>
      </c>
      <c r="J10" s="19"/>
      <c r="K10" s="19" t="s">
        <v>188</v>
      </c>
      <c r="L10" s="22" t="s">
        <v>196</v>
      </c>
      <c r="M10" s="26"/>
      <c r="N10" s="26"/>
      <c r="O10" s="26"/>
      <c r="P10" s="26"/>
      <c r="Q10" s="26"/>
    </row>
    <row r="11" hidden="1">
      <c r="A11" s="17" t="s">
        <v>20</v>
      </c>
      <c r="B11" s="9" t="s">
        <v>144</v>
      </c>
      <c r="C11" s="19" t="s">
        <v>46</v>
      </c>
      <c r="D11" s="22" t="s">
        <v>202</v>
      </c>
      <c r="E11" s="19" t="s">
        <v>88</v>
      </c>
      <c r="F11" s="19" t="s">
        <v>55</v>
      </c>
      <c r="G11" s="19" t="s">
        <v>57</v>
      </c>
      <c r="H11" s="24" t="s">
        <v>59</v>
      </c>
      <c r="I11" s="25" t="s">
        <v>170</v>
      </c>
      <c r="J11" s="19" t="s">
        <v>206</v>
      </c>
      <c r="K11" s="19" t="s">
        <v>177</v>
      </c>
      <c r="L11" s="22" t="s">
        <v>208</v>
      </c>
      <c r="M11" s="26"/>
      <c r="N11" s="26"/>
      <c r="O11" s="26"/>
      <c r="P11" s="26"/>
      <c r="Q11" s="26"/>
    </row>
    <row r="12" hidden="1">
      <c r="A12" s="17" t="s">
        <v>20</v>
      </c>
      <c r="B12" s="9" t="s">
        <v>144</v>
      </c>
      <c r="C12" s="19" t="s">
        <v>46</v>
      </c>
      <c r="D12" s="22" t="s">
        <v>210</v>
      </c>
      <c r="E12" s="19" t="s">
        <v>88</v>
      </c>
      <c r="F12" s="19" t="s">
        <v>186</v>
      </c>
      <c r="G12" s="19" t="s">
        <v>57</v>
      </c>
      <c r="H12" s="24" t="s">
        <v>59</v>
      </c>
      <c r="I12" s="25" t="s">
        <v>190</v>
      </c>
      <c r="J12" s="19"/>
      <c r="K12" s="19" t="s">
        <v>188</v>
      </c>
      <c r="L12" s="22" t="s">
        <v>214</v>
      </c>
      <c r="M12" s="26"/>
      <c r="N12" s="26"/>
      <c r="O12" s="26"/>
      <c r="P12" s="26"/>
      <c r="Q12" s="26"/>
    </row>
    <row r="13" hidden="1">
      <c r="A13" s="17" t="s">
        <v>20</v>
      </c>
      <c r="B13" s="9" t="s">
        <v>217</v>
      </c>
      <c r="C13" s="19" t="s">
        <v>218</v>
      </c>
      <c r="D13" s="22" t="s">
        <v>219</v>
      </c>
      <c r="E13" s="19" t="s">
        <v>88</v>
      </c>
      <c r="F13" s="19" t="s">
        <v>220</v>
      </c>
      <c r="G13" s="19" t="s">
        <v>57</v>
      </c>
      <c r="H13" s="24" t="s">
        <v>59</v>
      </c>
      <c r="I13" s="25" t="s">
        <v>223</v>
      </c>
      <c r="J13" s="19" t="s">
        <v>226</v>
      </c>
      <c r="K13" s="19" t="s">
        <v>40</v>
      </c>
      <c r="L13" s="22" t="s">
        <v>227</v>
      </c>
      <c r="M13" s="26"/>
      <c r="N13" s="26"/>
      <c r="O13" s="26"/>
      <c r="P13" s="26"/>
      <c r="Q13" s="26"/>
    </row>
    <row r="14">
      <c r="A14" s="17" t="s">
        <v>20</v>
      </c>
      <c r="B14" s="9" t="s">
        <v>217</v>
      </c>
      <c r="C14" s="19" t="s">
        <v>84</v>
      </c>
      <c r="D14" s="22" t="s">
        <v>230</v>
      </c>
      <c r="E14" s="19" t="s">
        <v>54</v>
      </c>
      <c r="F14" s="19" t="s">
        <v>89</v>
      </c>
      <c r="G14" s="19" t="s">
        <v>90</v>
      </c>
      <c r="H14" s="24" t="s">
        <v>59</v>
      </c>
      <c r="I14" s="25" t="s">
        <v>233</v>
      </c>
      <c r="J14" s="19"/>
      <c r="K14" s="19" t="s">
        <v>40</v>
      </c>
      <c r="L14" s="22" t="s">
        <v>236</v>
      </c>
      <c r="M14" s="26"/>
      <c r="N14" s="26"/>
      <c r="O14" s="26"/>
      <c r="P14" s="26"/>
      <c r="Q14" s="26"/>
    </row>
    <row r="15" hidden="1">
      <c r="A15" s="17" t="s">
        <v>20</v>
      </c>
      <c r="B15" s="9" t="s">
        <v>238</v>
      </c>
      <c r="C15" s="19" t="s">
        <v>46</v>
      </c>
      <c r="D15" s="22" t="s">
        <v>240</v>
      </c>
      <c r="E15" s="19" t="s">
        <v>54</v>
      </c>
      <c r="F15" s="19" t="s">
        <v>241</v>
      </c>
      <c r="G15" s="19" t="s">
        <v>57</v>
      </c>
      <c r="H15" s="24" t="s">
        <v>59</v>
      </c>
      <c r="I15" s="25" t="s">
        <v>170</v>
      </c>
      <c r="J15" s="19"/>
      <c r="K15" s="19" t="s">
        <v>74</v>
      </c>
      <c r="L15" s="22"/>
      <c r="M15" s="26"/>
      <c r="N15" s="26"/>
      <c r="O15" s="26"/>
      <c r="P15" s="26"/>
      <c r="Q15" s="26"/>
    </row>
    <row r="16" hidden="1">
      <c r="A16" s="17" t="s">
        <v>20</v>
      </c>
      <c r="B16" s="9" t="s">
        <v>238</v>
      </c>
      <c r="C16" s="19" t="s">
        <v>46</v>
      </c>
      <c r="D16" s="22" t="s">
        <v>248</v>
      </c>
      <c r="E16" s="19" t="s">
        <v>54</v>
      </c>
      <c r="F16" s="19" t="s">
        <v>55</v>
      </c>
      <c r="G16" s="19" t="s">
        <v>57</v>
      </c>
      <c r="H16" s="24" t="s">
        <v>59</v>
      </c>
      <c r="I16" s="25" t="s">
        <v>250</v>
      </c>
      <c r="J16" s="19"/>
      <c r="K16" s="19" t="s">
        <v>40</v>
      </c>
      <c r="L16" s="22" t="s">
        <v>254</v>
      </c>
      <c r="M16" s="26"/>
      <c r="N16" s="26"/>
      <c r="O16" s="26"/>
      <c r="P16" s="26"/>
      <c r="Q16" s="26"/>
    </row>
    <row r="17" hidden="1">
      <c r="A17" s="17" t="s">
        <v>20</v>
      </c>
      <c r="B17" s="9" t="s">
        <v>238</v>
      </c>
      <c r="C17" s="19" t="s">
        <v>46</v>
      </c>
      <c r="D17" s="22" t="s">
        <v>257</v>
      </c>
      <c r="E17" s="19" t="s">
        <v>54</v>
      </c>
      <c r="F17" s="19" t="s">
        <v>55</v>
      </c>
      <c r="G17" s="19" t="s">
        <v>57</v>
      </c>
      <c r="H17" s="24" t="s">
        <v>59</v>
      </c>
      <c r="I17" s="25" t="s">
        <v>170</v>
      </c>
      <c r="J17" s="19" t="s">
        <v>262</v>
      </c>
      <c r="K17" s="19" t="s">
        <v>130</v>
      </c>
      <c r="L17" s="22" t="s">
        <v>263</v>
      </c>
      <c r="M17" s="26"/>
      <c r="N17" s="26"/>
      <c r="O17" s="26"/>
      <c r="P17" s="26"/>
      <c r="Q17" s="26"/>
    </row>
    <row r="18" hidden="1">
      <c r="A18" s="17" t="s">
        <v>20</v>
      </c>
      <c r="B18" s="9" t="s">
        <v>238</v>
      </c>
      <c r="C18" s="19" t="s">
        <v>46</v>
      </c>
      <c r="D18" s="22" t="s">
        <v>268</v>
      </c>
      <c r="E18" s="19" t="s">
        <v>54</v>
      </c>
      <c r="F18" s="19" t="s">
        <v>55</v>
      </c>
      <c r="G18" s="19" t="s">
        <v>57</v>
      </c>
      <c r="H18" s="24" t="s">
        <v>59</v>
      </c>
      <c r="I18" s="25" t="s">
        <v>250</v>
      </c>
      <c r="J18" s="19" t="s">
        <v>273</v>
      </c>
      <c r="K18" s="19" t="s">
        <v>94</v>
      </c>
      <c r="L18" s="22" t="s">
        <v>274</v>
      </c>
      <c r="M18" s="26"/>
      <c r="N18" s="26"/>
      <c r="O18" s="26"/>
      <c r="P18" s="26"/>
      <c r="Q18" s="26"/>
    </row>
    <row r="19" hidden="1">
      <c r="A19" s="17" t="s">
        <v>20</v>
      </c>
      <c r="B19" s="9" t="s">
        <v>238</v>
      </c>
      <c r="C19" s="19" t="s">
        <v>46</v>
      </c>
      <c r="D19" s="22" t="s">
        <v>277</v>
      </c>
      <c r="E19" s="19" t="s">
        <v>54</v>
      </c>
      <c r="F19" s="19" t="s">
        <v>186</v>
      </c>
      <c r="G19" s="19" t="s">
        <v>57</v>
      </c>
      <c r="H19" s="24" t="s">
        <v>59</v>
      </c>
      <c r="I19" s="25" t="s">
        <v>190</v>
      </c>
      <c r="J19" s="19"/>
      <c r="K19" s="19" t="s">
        <v>188</v>
      </c>
      <c r="L19" s="22"/>
      <c r="M19" s="26"/>
      <c r="N19" s="26"/>
      <c r="O19" s="26"/>
      <c r="P19" s="26"/>
      <c r="Q19" s="26"/>
    </row>
    <row r="20" hidden="1">
      <c r="A20" s="17" t="s">
        <v>20</v>
      </c>
      <c r="B20" s="9" t="s">
        <v>238</v>
      </c>
      <c r="C20" s="19" t="s">
        <v>46</v>
      </c>
      <c r="D20" s="22" t="s">
        <v>282</v>
      </c>
      <c r="E20" s="19" t="s">
        <v>54</v>
      </c>
      <c r="F20" s="19" t="s">
        <v>186</v>
      </c>
      <c r="G20" s="19" t="s">
        <v>57</v>
      </c>
      <c r="H20" s="24" t="s">
        <v>59</v>
      </c>
      <c r="I20" s="25" t="s">
        <v>190</v>
      </c>
      <c r="J20" s="19"/>
      <c r="K20" s="19" t="s">
        <v>188</v>
      </c>
      <c r="L20" s="22" t="s">
        <v>287</v>
      </c>
      <c r="M20" s="26"/>
      <c r="N20" s="26"/>
      <c r="O20" s="26"/>
      <c r="P20" s="26"/>
      <c r="Q20" s="26"/>
    </row>
    <row r="21" ht="15.75" hidden="1" customHeight="1">
      <c r="A21" s="17" t="s">
        <v>20</v>
      </c>
      <c r="B21" s="9" t="s">
        <v>238</v>
      </c>
      <c r="C21" s="19" t="s">
        <v>46</v>
      </c>
      <c r="D21" s="22" t="s">
        <v>282</v>
      </c>
      <c r="E21" s="19" t="s">
        <v>54</v>
      </c>
      <c r="F21" s="19" t="s">
        <v>55</v>
      </c>
      <c r="G21" s="19" t="s">
        <v>57</v>
      </c>
      <c r="H21" s="24" t="s">
        <v>59</v>
      </c>
      <c r="I21" s="25" t="s">
        <v>291</v>
      </c>
      <c r="J21" s="19" t="s">
        <v>140</v>
      </c>
      <c r="K21" s="19" t="s">
        <v>82</v>
      </c>
      <c r="L21" s="22" t="s">
        <v>292</v>
      </c>
      <c r="M21" s="26"/>
      <c r="N21" s="26"/>
      <c r="O21" s="26"/>
      <c r="P21" s="26"/>
      <c r="Q21" s="26"/>
    </row>
    <row r="22" ht="15.75" hidden="1" customHeight="1">
      <c r="A22" s="17" t="s">
        <v>20</v>
      </c>
      <c r="B22" s="9" t="s">
        <v>293</v>
      </c>
      <c r="C22" s="19" t="s">
        <v>46</v>
      </c>
      <c r="D22" s="22" t="s">
        <v>294</v>
      </c>
      <c r="E22" s="19" t="s">
        <v>116</v>
      </c>
      <c r="F22" s="19" t="s">
        <v>295</v>
      </c>
      <c r="G22" s="19" t="s">
        <v>57</v>
      </c>
      <c r="H22" s="24" t="s">
        <v>59</v>
      </c>
      <c r="I22" s="25" t="s">
        <v>250</v>
      </c>
      <c r="J22" s="19"/>
      <c r="K22" s="19" t="s">
        <v>40</v>
      </c>
      <c r="L22" s="22" t="s">
        <v>296</v>
      </c>
      <c r="M22" s="26"/>
      <c r="N22" s="26"/>
      <c r="O22" s="26"/>
      <c r="P22" s="26"/>
      <c r="Q22" s="26"/>
    </row>
    <row r="23" ht="15.75" hidden="1" customHeight="1">
      <c r="A23" s="17" t="s">
        <v>20</v>
      </c>
      <c r="B23" s="9" t="s">
        <v>293</v>
      </c>
      <c r="C23" s="19" t="s">
        <v>46</v>
      </c>
      <c r="D23" s="22" t="s">
        <v>297</v>
      </c>
      <c r="E23" s="19" t="s">
        <v>116</v>
      </c>
      <c r="F23" s="19" t="s">
        <v>295</v>
      </c>
      <c r="G23" s="19" t="s">
        <v>57</v>
      </c>
      <c r="H23" s="24" t="s">
        <v>59</v>
      </c>
      <c r="I23" s="25" t="s">
        <v>170</v>
      </c>
      <c r="J23" s="19" t="s">
        <v>298</v>
      </c>
      <c r="K23" s="19" t="s">
        <v>130</v>
      </c>
      <c r="L23" s="22"/>
      <c r="M23" s="26"/>
      <c r="N23" s="26"/>
      <c r="O23" s="26"/>
      <c r="P23" s="26"/>
      <c r="Q23" s="26"/>
    </row>
    <row r="24" ht="15.75" hidden="1" customHeight="1">
      <c r="A24" s="17" t="s">
        <v>20</v>
      </c>
      <c r="B24" s="9" t="s">
        <v>293</v>
      </c>
      <c r="C24" s="19" t="s">
        <v>46</v>
      </c>
      <c r="D24" s="22" t="s">
        <v>299</v>
      </c>
      <c r="E24" s="19" t="s">
        <v>116</v>
      </c>
      <c r="F24" s="19" t="s">
        <v>295</v>
      </c>
      <c r="G24" s="19" t="s">
        <v>57</v>
      </c>
      <c r="H24" s="24" t="s">
        <v>59</v>
      </c>
      <c r="I24" s="25" t="s">
        <v>170</v>
      </c>
      <c r="J24" s="19"/>
      <c r="K24" s="19" t="s">
        <v>74</v>
      </c>
      <c r="L24" s="22"/>
      <c r="M24" s="26"/>
      <c r="N24" s="26"/>
      <c r="O24" s="26"/>
      <c r="P24" s="26"/>
      <c r="Q24" s="26"/>
    </row>
    <row r="25" ht="15.75" hidden="1" customHeight="1">
      <c r="A25" s="17" t="s">
        <v>20</v>
      </c>
      <c r="B25" s="9" t="s">
        <v>300</v>
      </c>
      <c r="C25" s="19" t="s">
        <v>203</v>
      </c>
      <c r="D25" s="22" t="s">
        <v>301</v>
      </c>
      <c r="E25" s="19" t="s">
        <v>88</v>
      </c>
      <c r="F25" s="19" t="s">
        <v>302</v>
      </c>
      <c r="G25" s="19" t="s">
        <v>135</v>
      </c>
      <c r="H25" s="24" t="s">
        <v>59</v>
      </c>
      <c r="I25" s="25" t="s">
        <v>303</v>
      </c>
      <c r="J25" s="19" t="s">
        <v>304</v>
      </c>
      <c r="K25" s="19" t="s">
        <v>40</v>
      </c>
      <c r="L25" s="22" t="s">
        <v>305</v>
      </c>
      <c r="M25" s="26"/>
      <c r="N25" s="26"/>
      <c r="O25" s="26"/>
      <c r="P25" s="26"/>
      <c r="Q25" s="26"/>
    </row>
    <row r="26" ht="15.75" hidden="1" customHeight="1">
      <c r="A26" s="17" t="s">
        <v>20</v>
      </c>
      <c r="B26" s="9" t="s">
        <v>300</v>
      </c>
      <c r="C26" s="19" t="s">
        <v>203</v>
      </c>
      <c r="D26" s="22" t="s">
        <v>306</v>
      </c>
      <c r="E26" s="19" t="s">
        <v>88</v>
      </c>
      <c r="F26" s="19" t="s">
        <v>302</v>
      </c>
      <c r="G26" s="19" t="s">
        <v>135</v>
      </c>
      <c r="H26" s="24" t="s">
        <v>59</v>
      </c>
      <c r="I26" s="25" t="s">
        <v>307</v>
      </c>
      <c r="J26" s="19" t="s">
        <v>308</v>
      </c>
      <c r="K26" s="19" t="s">
        <v>40</v>
      </c>
      <c r="L26" s="22" t="s">
        <v>309</v>
      </c>
      <c r="M26" s="26"/>
      <c r="N26" s="26"/>
      <c r="O26" s="26"/>
      <c r="P26" s="26"/>
      <c r="Q26" s="26"/>
    </row>
    <row r="27" ht="15.75" hidden="1" customHeight="1">
      <c r="A27" s="17" t="s">
        <v>20</v>
      </c>
      <c r="B27" s="9" t="s">
        <v>300</v>
      </c>
      <c r="C27" s="19" t="s">
        <v>203</v>
      </c>
      <c r="D27" s="22" t="s">
        <v>310</v>
      </c>
      <c r="E27" s="19" t="s">
        <v>88</v>
      </c>
      <c r="F27" s="19" t="s">
        <v>302</v>
      </c>
      <c r="G27" s="19" t="s">
        <v>135</v>
      </c>
      <c r="H27" s="24" t="s">
        <v>59</v>
      </c>
      <c r="I27" s="25" t="s">
        <v>311</v>
      </c>
      <c r="J27" s="19"/>
      <c r="K27" s="19" t="s">
        <v>40</v>
      </c>
      <c r="L27" s="22" t="s">
        <v>312</v>
      </c>
      <c r="M27" s="26"/>
      <c r="N27" s="26"/>
      <c r="O27" s="26"/>
      <c r="P27" s="26"/>
      <c r="Q27" s="26"/>
    </row>
    <row r="28" ht="15.75" hidden="1" customHeight="1">
      <c r="A28" s="17" t="s">
        <v>20</v>
      </c>
      <c r="B28" s="9" t="s">
        <v>300</v>
      </c>
      <c r="C28" s="19" t="s">
        <v>46</v>
      </c>
      <c r="D28" s="22" t="s">
        <v>313</v>
      </c>
      <c r="E28" s="19" t="s">
        <v>116</v>
      </c>
      <c r="F28" s="19" t="s">
        <v>55</v>
      </c>
      <c r="G28" s="19" t="s">
        <v>57</v>
      </c>
      <c r="H28" s="24" t="s">
        <v>59</v>
      </c>
      <c r="I28" s="25" t="s">
        <v>63</v>
      </c>
      <c r="J28" s="19"/>
      <c r="K28" s="19" t="s">
        <v>122</v>
      </c>
      <c r="L28" s="22" t="s">
        <v>314</v>
      </c>
      <c r="M28" s="26"/>
      <c r="N28" s="26"/>
      <c r="O28" s="26"/>
      <c r="P28" s="26"/>
      <c r="Q28" s="26"/>
    </row>
    <row r="29" ht="15.75" hidden="1" customHeight="1">
      <c r="A29" s="17" t="s">
        <v>20</v>
      </c>
      <c r="B29" s="9" t="s">
        <v>300</v>
      </c>
      <c r="C29" s="19" t="s">
        <v>46</v>
      </c>
      <c r="D29" s="22" t="s">
        <v>315</v>
      </c>
      <c r="E29" s="19" t="s">
        <v>116</v>
      </c>
      <c r="F29" s="19" t="s">
        <v>55</v>
      </c>
      <c r="G29" s="19" t="s">
        <v>57</v>
      </c>
      <c r="H29" s="24" t="s">
        <v>59</v>
      </c>
      <c r="I29" s="25" t="s">
        <v>170</v>
      </c>
      <c r="J29" s="19" t="s">
        <v>316</v>
      </c>
      <c r="K29" s="19" t="s">
        <v>139</v>
      </c>
      <c r="L29" s="22"/>
      <c r="M29" s="26"/>
      <c r="N29" s="26"/>
      <c r="O29" s="26"/>
      <c r="P29" s="26"/>
      <c r="Q29" s="26"/>
    </row>
    <row r="30" ht="15.75" hidden="1" customHeight="1">
      <c r="A30" s="17" t="s">
        <v>20</v>
      </c>
      <c r="B30" s="9" t="s">
        <v>300</v>
      </c>
      <c r="C30" s="19" t="s">
        <v>84</v>
      </c>
      <c r="D30" s="22" t="s">
        <v>317</v>
      </c>
      <c r="E30" s="19" t="s">
        <v>88</v>
      </c>
      <c r="F30" s="19" t="s">
        <v>89</v>
      </c>
      <c r="G30" s="19" t="s">
        <v>135</v>
      </c>
      <c r="H30" s="24" t="s">
        <v>59</v>
      </c>
      <c r="I30" s="25" t="s">
        <v>318</v>
      </c>
      <c r="J30" s="19" t="s">
        <v>319</v>
      </c>
      <c r="K30" s="19" t="s">
        <v>78</v>
      </c>
      <c r="L30" s="22" t="s">
        <v>320</v>
      </c>
      <c r="M30" s="26"/>
      <c r="N30" s="26"/>
      <c r="O30" s="26"/>
      <c r="P30" s="26"/>
      <c r="Q30" s="26"/>
    </row>
    <row r="31" ht="15.75" hidden="1" customHeight="1">
      <c r="A31" s="17" t="s">
        <v>20</v>
      </c>
      <c r="B31" s="9" t="s">
        <v>300</v>
      </c>
      <c r="C31" s="19" t="s">
        <v>84</v>
      </c>
      <c r="D31" s="22" t="s">
        <v>321</v>
      </c>
      <c r="E31" s="19" t="s">
        <v>88</v>
      </c>
      <c r="F31" s="19" t="s">
        <v>134</v>
      </c>
      <c r="G31" s="19" t="s">
        <v>135</v>
      </c>
      <c r="H31" s="24" t="s">
        <v>59</v>
      </c>
      <c r="I31" s="25" t="s">
        <v>322</v>
      </c>
      <c r="J31" s="19" t="s">
        <v>140</v>
      </c>
      <c r="K31" s="19" t="s">
        <v>13</v>
      </c>
      <c r="L31" s="22" t="s">
        <v>323</v>
      </c>
      <c r="M31" s="26"/>
      <c r="N31" s="26"/>
      <c r="O31" s="26"/>
      <c r="P31" s="26"/>
      <c r="Q31" s="26"/>
    </row>
    <row r="32" ht="15.75" hidden="1" customHeight="1">
      <c r="A32" s="17" t="s">
        <v>20</v>
      </c>
      <c r="B32" s="9" t="s">
        <v>324</v>
      </c>
      <c r="C32" s="19" t="s">
        <v>46</v>
      </c>
      <c r="D32" s="22" t="s">
        <v>325</v>
      </c>
      <c r="E32" s="19" t="s">
        <v>54</v>
      </c>
      <c r="F32" s="19" t="s">
        <v>55</v>
      </c>
      <c r="G32" s="19" t="s">
        <v>135</v>
      </c>
      <c r="H32" s="24" t="s">
        <v>59</v>
      </c>
      <c r="I32" s="25" t="s">
        <v>326</v>
      </c>
      <c r="J32" s="19"/>
      <c r="K32" s="19" t="s">
        <v>199</v>
      </c>
      <c r="L32" s="22" t="s">
        <v>327</v>
      </c>
      <c r="M32" s="26"/>
      <c r="N32" s="26"/>
      <c r="O32" s="26"/>
      <c r="P32" s="26"/>
      <c r="Q32" s="26"/>
    </row>
    <row r="33" ht="15.75" customHeight="1">
      <c r="A33" s="17" t="s">
        <v>20</v>
      </c>
      <c r="B33" s="9" t="s">
        <v>328</v>
      </c>
      <c r="C33" s="19" t="s">
        <v>329</v>
      </c>
      <c r="D33" s="22" t="s">
        <v>330</v>
      </c>
      <c r="E33" s="19" t="s">
        <v>54</v>
      </c>
      <c r="F33" s="19" t="s">
        <v>331</v>
      </c>
      <c r="G33" s="19" t="s">
        <v>90</v>
      </c>
      <c r="H33" s="24" t="s">
        <v>59</v>
      </c>
      <c r="I33" s="25" t="s">
        <v>332</v>
      </c>
      <c r="J33" s="19"/>
      <c r="K33" s="19" t="s">
        <v>125</v>
      </c>
      <c r="L33" s="22" t="s">
        <v>333</v>
      </c>
      <c r="M33" s="26"/>
      <c r="N33" s="26"/>
      <c r="O33" s="26"/>
      <c r="P33" s="26"/>
      <c r="Q33" s="26"/>
    </row>
    <row r="34" ht="15.75" customHeight="1">
      <c r="A34" s="17" t="s">
        <v>20</v>
      </c>
      <c r="B34" s="9" t="s">
        <v>328</v>
      </c>
      <c r="C34" s="19" t="s">
        <v>182</v>
      </c>
      <c r="D34" s="22" t="s">
        <v>334</v>
      </c>
      <c r="E34" s="19" t="s">
        <v>54</v>
      </c>
      <c r="F34" s="19" t="s">
        <v>335</v>
      </c>
      <c r="G34" s="19" t="s">
        <v>90</v>
      </c>
      <c r="H34" s="24" t="s">
        <v>59</v>
      </c>
      <c r="I34" s="25" t="s">
        <v>336</v>
      </c>
      <c r="J34" s="19" t="s">
        <v>337</v>
      </c>
      <c r="K34" s="19" t="s">
        <v>92</v>
      </c>
      <c r="L34" s="22"/>
      <c r="M34" s="26"/>
      <c r="N34" s="26"/>
      <c r="O34" s="26"/>
      <c r="P34" s="26"/>
      <c r="Q34" s="26"/>
    </row>
    <row r="35" ht="15.75" customHeight="1">
      <c r="A35" s="17" t="s">
        <v>20</v>
      </c>
      <c r="B35" s="9" t="s">
        <v>328</v>
      </c>
      <c r="C35" s="19" t="s">
        <v>182</v>
      </c>
      <c r="D35" s="22" t="s">
        <v>338</v>
      </c>
      <c r="E35" s="19" t="s">
        <v>54</v>
      </c>
      <c r="F35" s="19" t="s">
        <v>335</v>
      </c>
      <c r="G35" s="19" t="s">
        <v>90</v>
      </c>
      <c r="H35" s="24" t="s">
        <v>59</v>
      </c>
      <c r="I35" s="25" t="s">
        <v>339</v>
      </c>
      <c r="J35" s="19" t="s">
        <v>337</v>
      </c>
      <c r="K35" s="19" t="s">
        <v>92</v>
      </c>
      <c r="L35" s="22"/>
      <c r="M35" s="26"/>
      <c r="N35" s="26"/>
      <c r="O35" s="26"/>
      <c r="P35" s="26"/>
      <c r="Q35" s="26"/>
    </row>
    <row r="36" ht="15.75" customHeight="1">
      <c r="A36" s="17" t="s">
        <v>20</v>
      </c>
      <c r="B36" s="9" t="s">
        <v>328</v>
      </c>
      <c r="C36" s="19" t="s">
        <v>84</v>
      </c>
      <c r="D36" s="22" t="s">
        <v>340</v>
      </c>
      <c r="E36" s="19" t="s">
        <v>88</v>
      </c>
      <c r="F36" s="19" t="s">
        <v>103</v>
      </c>
      <c r="G36" s="19" t="s">
        <v>90</v>
      </c>
      <c r="H36" s="24" t="s">
        <v>59</v>
      </c>
      <c r="I36" s="25" t="s">
        <v>341</v>
      </c>
      <c r="J36" s="19" t="s">
        <v>95</v>
      </c>
      <c r="K36" s="19" t="s">
        <v>52</v>
      </c>
      <c r="L36" s="22" t="s">
        <v>342</v>
      </c>
      <c r="M36" s="26"/>
      <c r="N36" s="26"/>
      <c r="O36" s="26"/>
      <c r="P36" s="26"/>
      <c r="Q36" s="26"/>
    </row>
    <row r="37" ht="15.75" customHeight="1">
      <c r="A37" s="17" t="s">
        <v>20</v>
      </c>
      <c r="B37" s="9" t="s">
        <v>328</v>
      </c>
      <c r="C37" s="19" t="s">
        <v>84</v>
      </c>
      <c r="D37" s="22" t="s">
        <v>343</v>
      </c>
      <c r="E37" s="19" t="s">
        <v>88</v>
      </c>
      <c r="F37" s="19" t="s">
        <v>134</v>
      </c>
      <c r="G37" s="19" t="s">
        <v>90</v>
      </c>
      <c r="H37" s="24" t="s">
        <v>59</v>
      </c>
      <c r="I37" s="25" t="s">
        <v>344</v>
      </c>
      <c r="J37" s="19"/>
      <c r="K37" s="19" t="s">
        <v>215</v>
      </c>
      <c r="L37" s="22" t="s">
        <v>345</v>
      </c>
      <c r="M37" s="26"/>
      <c r="N37" s="26"/>
      <c r="O37" s="26"/>
      <c r="P37" s="26"/>
      <c r="Q37" s="26"/>
    </row>
    <row r="38" ht="15.75" customHeight="1">
      <c r="A38" s="17" t="s">
        <v>20</v>
      </c>
      <c r="B38" s="9" t="s">
        <v>328</v>
      </c>
      <c r="C38" s="19" t="s">
        <v>84</v>
      </c>
      <c r="D38" s="22" t="s">
        <v>346</v>
      </c>
      <c r="E38" s="19" t="s">
        <v>88</v>
      </c>
      <c r="F38" s="19" t="s">
        <v>89</v>
      </c>
      <c r="G38" s="19" t="s">
        <v>90</v>
      </c>
      <c r="H38" s="24" t="s">
        <v>59</v>
      </c>
      <c r="I38" s="25" t="s">
        <v>347</v>
      </c>
      <c r="J38" s="19" t="s">
        <v>95</v>
      </c>
      <c r="K38" s="19" t="s">
        <v>52</v>
      </c>
      <c r="L38" s="22" t="s">
        <v>348</v>
      </c>
      <c r="M38" s="26"/>
      <c r="N38" s="26"/>
      <c r="O38" s="26"/>
      <c r="P38" s="26"/>
      <c r="Q38" s="26"/>
    </row>
    <row r="39" ht="15.75" customHeight="1">
      <c r="A39" s="17" t="s">
        <v>20</v>
      </c>
      <c r="B39" s="9" t="s">
        <v>328</v>
      </c>
      <c r="C39" s="19" t="s">
        <v>84</v>
      </c>
      <c r="D39" s="22" t="s">
        <v>349</v>
      </c>
      <c r="E39" s="19" t="s">
        <v>88</v>
      </c>
      <c r="F39" s="19" t="s">
        <v>89</v>
      </c>
      <c r="G39" s="19" t="s">
        <v>90</v>
      </c>
      <c r="H39" s="24" t="s">
        <v>59</v>
      </c>
      <c r="I39" s="25" t="s">
        <v>350</v>
      </c>
      <c r="J39" s="19" t="s">
        <v>319</v>
      </c>
      <c r="K39" s="19" t="s">
        <v>52</v>
      </c>
      <c r="L39" s="22" t="s">
        <v>351</v>
      </c>
      <c r="M39" s="26"/>
      <c r="N39" s="26"/>
      <c r="O39" s="26"/>
      <c r="P39" s="26"/>
      <c r="Q39" s="26"/>
    </row>
    <row r="40" ht="15.75" customHeight="1">
      <c r="A40" s="17" t="s">
        <v>20</v>
      </c>
      <c r="B40" s="9" t="s">
        <v>328</v>
      </c>
      <c r="C40" s="19" t="s">
        <v>84</v>
      </c>
      <c r="D40" s="22" t="s">
        <v>352</v>
      </c>
      <c r="E40" s="19" t="s">
        <v>88</v>
      </c>
      <c r="F40" s="19" t="s">
        <v>89</v>
      </c>
      <c r="G40" s="19" t="s">
        <v>90</v>
      </c>
      <c r="H40" s="24" t="s">
        <v>59</v>
      </c>
      <c r="I40" s="25" t="s">
        <v>353</v>
      </c>
      <c r="J40" s="19" t="s">
        <v>319</v>
      </c>
      <c r="K40" s="19" t="s">
        <v>52</v>
      </c>
      <c r="L40" s="22" t="s">
        <v>354</v>
      </c>
      <c r="M40" s="26"/>
      <c r="N40" s="26"/>
      <c r="O40" s="26"/>
      <c r="P40" s="26"/>
      <c r="Q40" s="26"/>
    </row>
    <row r="41" ht="15.75" customHeight="1">
      <c r="A41" s="17" t="s">
        <v>20</v>
      </c>
      <c r="B41" s="9" t="s">
        <v>328</v>
      </c>
      <c r="C41" s="19" t="s">
        <v>84</v>
      </c>
      <c r="D41" s="22" t="s">
        <v>355</v>
      </c>
      <c r="E41" s="19" t="s">
        <v>88</v>
      </c>
      <c r="F41" s="19" t="s">
        <v>89</v>
      </c>
      <c r="G41" s="19" t="s">
        <v>90</v>
      </c>
      <c r="H41" s="24" t="s">
        <v>59</v>
      </c>
      <c r="I41" s="25" t="s">
        <v>356</v>
      </c>
      <c r="J41" s="19"/>
      <c r="K41" s="19" t="s">
        <v>100</v>
      </c>
      <c r="L41" s="22" t="s">
        <v>357</v>
      </c>
      <c r="M41" s="26"/>
      <c r="N41" s="26"/>
      <c r="O41" s="26"/>
      <c r="P41" s="26"/>
      <c r="Q41" s="26"/>
    </row>
    <row r="42" ht="15.75" customHeight="1">
      <c r="A42" s="17" t="s">
        <v>20</v>
      </c>
      <c r="B42" s="9" t="s">
        <v>328</v>
      </c>
      <c r="C42" s="19" t="s">
        <v>358</v>
      </c>
      <c r="D42" s="22" t="s">
        <v>359</v>
      </c>
      <c r="E42" s="19" t="s">
        <v>54</v>
      </c>
      <c r="F42" s="19" t="s">
        <v>335</v>
      </c>
      <c r="G42" s="19" t="s">
        <v>90</v>
      </c>
      <c r="H42" s="24" t="s">
        <v>59</v>
      </c>
      <c r="I42" s="25" t="s">
        <v>360</v>
      </c>
      <c r="J42" s="19"/>
      <c r="K42" s="19" t="s">
        <v>112</v>
      </c>
      <c r="L42" s="22"/>
      <c r="M42" s="26"/>
      <c r="N42" s="26"/>
      <c r="O42" s="26"/>
      <c r="P42" s="26"/>
      <c r="Q42" s="26"/>
    </row>
    <row r="43" ht="15.75" hidden="1" customHeight="1">
      <c r="A43" s="17" t="s">
        <v>20</v>
      </c>
      <c r="B43" s="9" t="s">
        <v>361</v>
      </c>
      <c r="C43" s="19" t="s">
        <v>362</v>
      </c>
      <c r="D43" s="22" t="s">
        <v>363</v>
      </c>
      <c r="E43" s="19" t="s">
        <v>88</v>
      </c>
      <c r="F43" s="19" t="s">
        <v>364</v>
      </c>
      <c r="G43" s="19" t="s">
        <v>57</v>
      </c>
      <c r="H43" s="22" t="s">
        <v>365</v>
      </c>
      <c r="I43" s="25" t="s">
        <v>366</v>
      </c>
      <c r="J43" s="19"/>
      <c r="K43" s="19" t="s">
        <v>231</v>
      </c>
      <c r="L43" s="22" t="s">
        <v>367</v>
      </c>
      <c r="M43" s="26"/>
      <c r="N43" s="26"/>
      <c r="O43" s="26"/>
      <c r="P43" s="26"/>
      <c r="Q43" s="26"/>
    </row>
    <row r="44" ht="15.75" hidden="1" customHeight="1">
      <c r="A44" s="17" t="s">
        <v>20</v>
      </c>
      <c r="B44" s="9" t="s">
        <v>368</v>
      </c>
      <c r="C44" s="19" t="s">
        <v>369</v>
      </c>
      <c r="D44" s="22" t="s">
        <v>370</v>
      </c>
      <c r="E44" s="19" t="s">
        <v>88</v>
      </c>
      <c r="F44" s="19" t="s">
        <v>371</v>
      </c>
      <c r="G44" s="19" t="s">
        <v>57</v>
      </c>
      <c r="H44" s="24" t="s">
        <v>59</v>
      </c>
      <c r="I44" s="25" t="s">
        <v>372</v>
      </c>
      <c r="J44" s="19" t="s">
        <v>373</v>
      </c>
      <c r="K44" s="19" t="s">
        <v>139</v>
      </c>
      <c r="L44" s="22" t="s">
        <v>374</v>
      </c>
      <c r="M44" s="26"/>
      <c r="N44" s="26"/>
      <c r="O44" s="26"/>
      <c r="P44" s="26"/>
      <c r="Q44" s="26"/>
    </row>
    <row r="45" ht="15.75" customHeight="1">
      <c r="A45" s="17" t="s">
        <v>29</v>
      </c>
      <c r="B45" s="9" t="s">
        <v>375</v>
      </c>
      <c r="C45" s="19" t="s">
        <v>376</v>
      </c>
      <c r="D45" s="22" t="s">
        <v>377</v>
      </c>
      <c r="E45" s="19" t="s">
        <v>116</v>
      </c>
      <c r="F45" s="19" t="s">
        <v>331</v>
      </c>
      <c r="G45" s="19" t="s">
        <v>90</v>
      </c>
      <c r="H45" s="24" t="s">
        <v>59</v>
      </c>
      <c r="I45" s="25" t="s">
        <v>378</v>
      </c>
      <c r="J45" s="19"/>
      <c r="K45" s="19" t="s">
        <v>125</v>
      </c>
      <c r="L45" s="22" t="s">
        <v>333</v>
      </c>
      <c r="M45" s="26"/>
      <c r="N45" s="26"/>
      <c r="O45" s="26"/>
      <c r="P45" s="26"/>
      <c r="Q45" s="26"/>
    </row>
    <row r="46" ht="15.75" customHeight="1">
      <c r="A46" s="17" t="s">
        <v>29</v>
      </c>
      <c r="B46" s="9" t="s">
        <v>375</v>
      </c>
      <c r="C46" s="19" t="s">
        <v>376</v>
      </c>
      <c r="D46" s="22" t="s">
        <v>379</v>
      </c>
      <c r="E46" s="19" t="s">
        <v>116</v>
      </c>
      <c r="F46" s="19" t="s">
        <v>331</v>
      </c>
      <c r="G46" s="19" t="s">
        <v>90</v>
      </c>
      <c r="H46" s="24" t="s">
        <v>59</v>
      </c>
      <c r="I46" s="25" t="s">
        <v>380</v>
      </c>
      <c r="J46" s="19"/>
      <c r="K46" s="19" t="s">
        <v>125</v>
      </c>
      <c r="L46" s="22"/>
      <c r="M46" s="26"/>
      <c r="N46" s="26"/>
      <c r="O46" s="26"/>
      <c r="P46" s="26"/>
      <c r="Q46" s="26"/>
    </row>
    <row r="47" ht="15.75" customHeight="1">
      <c r="A47" s="17" t="s">
        <v>29</v>
      </c>
      <c r="B47" s="9" t="s">
        <v>375</v>
      </c>
      <c r="C47" s="19" t="s">
        <v>329</v>
      </c>
      <c r="D47" s="22" t="s">
        <v>381</v>
      </c>
      <c r="E47" s="19" t="s">
        <v>116</v>
      </c>
      <c r="F47" s="19" t="s">
        <v>331</v>
      </c>
      <c r="G47" s="19" t="s">
        <v>90</v>
      </c>
      <c r="H47" s="24" t="s">
        <v>59</v>
      </c>
      <c r="I47" s="25" t="s">
        <v>382</v>
      </c>
      <c r="J47" s="19"/>
      <c r="K47" s="19" t="s">
        <v>125</v>
      </c>
      <c r="L47" s="22"/>
      <c r="M47" s="26"/>
      <c r="N47" s="26"/>
      <c r="O47" s="26"/>
      <c r="P47" s="26"/>
      <c r="Q47" s="26"/>
    </row>
    <row r="48" ht="15.75" customHeight="1">
      <c r="A48" s="17" t="s">
        <v>29</v>
      </c>
      <c r="B48" s="9" t="s">
        <v>375</v>
      </c>
      <c r="C48" s="19" t="s">
        <v>329</v>
      </c>
      <c r="D48" s="22" t="s">
        <v>383</v>
      </c>
      <c r="E48" s="19" t="s">
        <v>116</v>
      </c>
      <c r="F48" s="19" t="s">
        <v>331</v>
      </c>
      <c r="G48" s="19" t="s">
        <v>90</v>
      </c>
      <c r="H48" s="24" t="s">
        <v>59</v>
      </c>
      <c r="I48" s="25" t="s">
        <v>382</v>
      </c>
      <c r="J48" s="19"/>
      <c r="K48" s="19" t="s">
        <v>125</v>
      </c>
      <c r="L48" s="22" t="s">
        <v>333</v>
      </c>
      <c r="M48" s="26"/>
      <c r="N48" s="26"/>
      <c r="O48" s="26"/>
      <c r="P48" s="26"/>
      <c r="Q48" s="26"/>
    </row>
    <row r="49" ht="15.75" customHeight="1">
      <c r="A49" s="17" t="s">
        <v>29</v>
      </c>
      <c r="B49" s="9" t="s">
        <v>375</v>
      </c>
      <c r="C49" s="19" t="s">
        <v>329</v>
      </c>
      <c r="D49" s="22" t="s">
        <v>377</v>
      </c>
      <c r="E49" s="19" t="s">
        <v>116</v>
      </c>
      <c r="F49" s="19" t="s">
        <v>331</v>
      </c>
      <c r="G49" s="19" t="s">
        <v>90</v>
      </c>
      <c r="H49" s="24" t="s">
        <v>59</v>
      </c>
      <c r="I49" s="25" t="s">
        <v>382</v>
      </c>
      <c r="J49" s="19"/>
      <c r="K49" s="19" t="s">
        <v>125</v>
      </c>
      <c r="L49" s="22" t="s">
        <v>333</v>
      </c>
      <c r="M49" s="26"/>
      <c r="N49" s="26"/>
      <c r="O49" s="26"/>
      <c r="P49" s="26"/>
      <c r="Q49" s="26"/>
    </row>
    <row r="50" ht="15.75" customHeight="1">
      <c r="A50" s="17" t="s">
        <v>29</v>
      </c>
      <c r="B50" s="9" t="s">
        <v>375</v>
      </c>
      <c r="C50" s="19" t="s">
        <v>384</v>
      </c>
      <c r="D50" s="22" t="s">
        <v>385</v>
      </c>
      <c r="E50" s="19" t="s">
        <v>116</v>
      </c>
      <c r="F50" s="19" t="s">
        <v>335</v>
      </c>
      <c r="G50" s="19" t="s">
        <v>90</v>
      </c>
      <c r="H50" s="24" t="s">
        <v>59</v>
      </c>
      <c r="I50" s="25" t="s">
        <v>386</v>
      </c>
      <c r="J50" s="19" t="s">
        <v>337</v>
      </c>
      <c r="K50" s="19" t="s">
        <v>92</v>
      </c>
      <c r="L50" s="22"/>
      <c r="M50" s="26"/>
      <c r="N50" s="26"/>
      <c r="O50" s="26"/>
      <c r="P50" s="26"/>
      <c r="Q50" s="26"/>
    </row>
    <row r="51" ht="15.75" customHeight="1">
      <c r="A51" s="17" t="s">
        <v>29</v>
      </c>
      <c r="B51" s="9" t="s">
        <v>375</v>
      </c>
      <c r="C51" s="19" t="s">
        <v>384</v>
      </c>
      <c r="D51" s="22" t="s">
        <v>377</v>
      </c>
      <c r="E51" s="19" t="s">
        <v>116</v>
      </c>
      <c r="F51" s="19" t="s">
        <v>335</v>
      </c>
      <c r="G51" s="19" t="s">
        <v>90</v>
      </c>
      <c r="H51" s="24" t="s">
        <v>59</v>
      </c>
      <c r="I51" s="25" t="s">
        <v>387</v>
      </c>
      <c r="J51" s="19"/>
      <c r="K51" s="19" t="s">
        <v>125</v>
      </c>
      <c r="L51" s="22" t="s">
        <v>333</v>
      </c>
      <c r="M51" s="26"/>
      <c r="N51" s="26"/>
      <c r="O51" s="26"/>
      <c r="P51" s="26"/>
      <c r="Q51" s="26"/>
    </row>
    <row r="52" ht="15.75" customHeight="1">
      <c r="A52" s="17" t="s">
        <v>29</v>
      </c>
      <c r="B52" s="9" t="s">
        <v>375</v>
      </c>
      <c r="C52" s="19" t="s">
        <v>182</v>
      </c>
      <c r="D52" s="22" t="s">
        <v>388</v>
      </c>
      <c r="E52" s="19" t="s">
        <v>116</v>
      </c>
      <c r="F52" s="19" t="s">
        <v>335</v>
      </c>
      <c r="G52" s="19" t="s">
        <v>90</v>
      </c>
      <c r="H52" s="24" t="s">
        <v>59</v>
      </c>
      <c r="I52" s="25" t="s">
        <v>389</v>
      </c>
      <c r="J52" s="19" t="s">
        <v>337</v>
      </c>
      <c r="K52" s="19" t="s">
        <v>92</v>
      </c>
      <c r="L52" s="22"/>
      <c r="M52" s="26"/>
      <c r="N52" s="26"/>
      <c r="O52" s="26"/>
      <c r="P52" s="26"/>
      <c r="Q52" s="26"/>
    </row>
    <row r="53" ht="15.75" customHeight="1">
      <c r="A53" s="17" t="s">
        <v>29</v>
      </c>
      <c r="B53" s="9" t="s">
        <v>375</v>
      </c>
      <c r="C53" s="19" t="s">
        <v>182</v>
      </c>
      <c r="D53" s="22" t="s">
        <v>390</v>
      </c>
      <c r="E53" s="19" t="s">
        <v>116</v>
      </c>
      <c r="F53" s="19" t="s">
        <v>335</v>
      </c>
      <c r="G53" s="19" t="s">
        <v>90</v>
      </c>
      <c r="H53" s="24" t="s">
        <v>59</v>
      </c>
      <c r="I53" s="25" t="s">
        <v>391</v>
      </c>
      <c r="J53" s="19" t="s">
        <v>337</v>
      </c>
      <c r="K53" s="19" t="s">
        <v>92</v>
      </c>
      <c r="L53" s="22"/>
      <c r="M53" s="26"/>
      <c r="N53" s="26"/>
      <c r="O53" s="26"/>
      <c r="P53" s="26"/>
      <c r="Q53" s="26"/>
    </row>
    <row r="54" ht="15.75" customHeight="1">
      <c r="A54" s="17" t="s">
        <v>29</v>
      </c>
      <c r="B54" s="9" t="s">
        <v>375</v>
      </c>
      <c r="C54" s="19" t="s">
        <v>392</v>
      </c>
      <c r="D54" s="22" t="s">
        <v>393</v>
      </c>
      <c r="E54" s="19" t="s">
        <v>54</v>
      </c>
      <c r="F54" s="19" t="s">
        <v>394</v>
      </c>
      <c r="G54" s="19" t="s">
        <v>90</v>
      </c>
      <c r="H54" s="22" t="s">
        <v>155</v>
      </c>
      <c r="I54" s="25" t="s">
        <v>395</v>
      </c>
      <c r="J54" s="19" t="s">
        <v>319</v>
      </c>
      <c r="K54" s="19" t="s">
        <v>92</v>
      </c>
      <c r="L54" s="22"/>
      <c r="M54" s="26"/>
      <c r="N54" s="26"/>
      <c r="O54" s="26"/>
      <c r="P54" s="26"/>
      <c r="Q54" s="26"/>
    </row>
    <row r="55" ht="15.75" hidden="1" customHeight="1">
      <c r="A55" s="17" t="s">
        <v>29</v>
      </c>
      <c r="B55" s="9" t="s">
        <v>396</v>
      </c>
      <c r="C55" s="19" t="s">
        <v>84</v>
      </c>
      <c r="D55" s="22" t="s">
        <v>397</v>
      </c>
      <c r="E55" s="19" t="s">
        <v>54</v>
      </c>
      <c r="F55" s="19" t="s">
        <v>89</v>
      </c>
      <c r="G55" s="19" t="s">
        <v>135</v>
      </c>
      <c r="H55" s="24" t="s">
        <v>59</v>
      </c>
      <c r="I55" s="25" t="s">
        <v>398</v>
      </c>
      <c r="J55" s="19" t="s">
        <v>319</v>
      </c>
      <c r="K55" s="19" t="s">
        <v>78</v>
      </c>
      <c r="L55" s="22" t="s">
        <v>320</v>
      </c>
      <c r="M55" s="26"/>
      <c r="N55" s="26"/>
      <c r="O55" s="26"/>
      <c r="P55" s="26"/>
      <c r="Q55" s="26"/>
    </row>
    <row r="56" ht="15.75" hidden="1" customHeight="1">
      <c r="A56" s="17" t="s">
        <v>29</v>
      </c>
      <c r="B56" s="9" t="s">
        <v>396</v>
      </c>
      <c r="C56" s="19" t="s">
        <v>84</v>
      </c>
      <c r="D56" s="22" t="s">
        <v>399</v>
      </c>
      <c r="E56" s="19" t="s">
        <v>54</v>
      </c>
      <c r="F56" s="19" t="s">
        <v>89</v>
      </c>
      <c r="G56" s="19" t="s">
        <v>135</v>
      </c>
      <c r="H56" s="24" t="s">
        <v>59</v>
      </c>
      <c r="I56" s="25" t="s">
        <v>400</v>
      </c>
      <c r="J56" s="19" t="s">
        <v>304</v>
      </c>
      <c r="K56" s="19" t="s">
        <v>94</v>
      </c>
      <c r="L56" s="22" t="s">
        <v>401</v>
      </c>
      <c r="M56" s="26"/>
      <c r="N56" s="26"/>
      <c r="O56" s="26"/>
      <c r="P56" s="26"/>
      <c r="Q56" s="26"/>
    </row>
    <row r="57" ht="15.75" hidden="1" customHeight="1">
      <c r="A57" s="17" t="s">
        <v>29</v>
      </c>
      <c r="B57" s="9" t="s">
        <v>402</v>
      </c>
      <c r="C57" s="19" t="s">
        <v>403</v>
      </c>
      <c r="D57" s="22" t="s">
        <v>404</v>
      </c>
      <c r="E57" s="19" t="s">
        <v>88</v>
      </c>
      <c r="F57" s="19" t="s">
        <v>405</v>
      </c>
      <c r="G57" s="19" t="s">
        <v>142</v>
      </c>
      <c r="H57" s="22" t="s">
        <v>155</v>
      </c>
      <c r="I57" s="25" t="s">
        <v>406</v>
      </c>
      <c r="J57" s="19" t="s">
        <v>373</v>
      </c>
      <c r="K57" s="19" t="s">
        <v>139</v>
      </c>
      <c r="L57" s="22" t="s">
        <v>407</v>
      </c>
      <c r="M57" s="26"/>
      <c r="N57" s="26"/>
      <c r="O57" s="26"/>
      <c r="P57" s="26"/>
      <c r="Q57" s="26"/>
    </row>
    <row r="58" ht="15.75" hidden="1" customHeight="1">
      <c r="A58" s="17" t="s">
        <v>29</v>
      </c>
      <c r="B58" s="9" t="s">
        <v>408</v>
      </c>
      <c r="C58" s="19" t="s">
        <v>409</v>
      </c>
      <c r="D58" s="22" t="s">
        <v>410</v>
      </c>
      <c r="E58" s="19" t="s">
        <v>88</v>
      </c>
      <c r="F58" s="19" t="s">
        <v>411</v>
      </c>
      <c r="G58" s="19" t="s">
        <v>57</v>
      </c>
      <c r="H58" s="24" t="s">
        <v>59</v>
      </c>
      <c r="I58" s="25" t="s">
        <v>412</v>
      </c>
      <c r="J58" s="19" t="s">
        <v>413</v>
      </c>
      <c r="K58" s="19" t="s">
        <v>130</v>
      </c>
      <c r="L58" s="22" t="s">
        <v>414</v>
      </c>
      <c r="M58" s="26"/>
      <c r="N58" s="26"/>
      <c r="O58" s="26"/>
      <c r="P58" s="26"/>
      <c r="Q58" s="26"/>
    </row>
    <row r="59" ht="15.75" hidden="1" customHeight="1">
      <c r="A59" s="17" t="s">
        <v>29</v>
      </c>
      <c r="B59" s="9" t="s">
        <v>408</v>
      </c>
      <c r="C59" s="19" t="s">
        <v>409</v>
      </c>
      <c r="D59" s="22" t="s">
        <v>415</v>
      </c>
      <c r="E59" s="19" t="s">
        <v>88</v>
      </c>
      <c r="F59" s="19" t="s">
        <v>416</v>
      </c>
      <c r="G59" s="19" t="s">
        <v>57</v>
      </c>
      <c r="H59" s="24" t="s">
        <v>59</v>
      </c>
      <c r="I59" s="25" t="s">
        <v>417</v>
      </c>
      <c r="J59" s="19" t="s">
        <v>418</v>
      </c>
      <c r="K59" s="19" t="s">
        <v>130</v>
      </c>
      <c r="L59" s="22" t="s">
        <v>419</v>
      </c>
      <c r="M59" s="26"/>
      <c r="N59" s="26"/>
      <c r="O59" s="26"/>
      <c r="P59" s="26"/>
      <c r="Q59" s="26"/>
    </row>
    <row r="60" ht="15.75" hidden="1" customHeight="1">
      <c r="A60" s="17" t="s">
        <v>29</v>
      </c>
      <c r="B60" s="9" t="s">
        <v>408</v>
      </c>
      <c r="C60" s="19" t="s">
        <v>172</v>
      </c>
      <c r="D60" s="22" t="s">
        <v>420</v>
      </c>
      <c r="E60" s="19" t="s">
        <v>88</v>
      </c>
      <c r="F60" s="19" t="s">
        <v>421</v>
      </c>
      <c r="G60" s="19" t="s">
        <v>57</v>
      </c>
      <c r="H60" s="24" t="s">
        <v>59</v>
      </c>
      <c r="I60" s="25" t="s">
        <v>422</v>
      </c>
      <c r="J60" s="19" t="s">
        <v>157</v>
      </c>
      <c r="K60" s="19" t="s">
        <v>152</v>
      </c>
      <c r="L60" s="22" t="s">
        <v>423</v>
      </c>
      <c r="M60" s="26"/>
      <c r="N60" s="26"/>
      <c r="O60" s="26"/>
      <c r="P60" s="26"/>
      <c r="Q60" s="26"/>
    </row>
    <row r="61" ht="15.75" hidden="1" customHeight="1">
      <c r="A61" s="17" t="s">
        <v>29</v>
      </c>
      <c r="B61" s="9" t="s">
        <v>408</v>
      </c>
      <c r="C61" s="19" t="s">
        <v>172</v>
      </c>
      <c r="D61" s="22" t="s">
        <v>424</v>
      </c>
      <c r="E61" s="19" t="s">
        <v>88</v>
      </c>
      <c r="F61" s="19" t="s">
        <v>421</v>
      </c>
      <c r="G61" s="19" t="s">
        <v>57</v>
      </c>
      <c r="H61" s="24" t="s">
        <v>59</v>
      </c>
      <c r="I61" s="25" t="s">
        <v>425</v>
      </c>
      <c r="J61" s="19"/>
      <c r="K61" s="19" t="s">
        <v>105</v>
      </c>
      <c r="L61" s="22" t="s">
        <v>426</v>
      </c>
      <c r="M61" s="26"/>
      <c r="N61" s="26"/>
      <c r="O61" s="26"/>
      <c r="P61" s="26"/>
      <c r="Q61" s="26"/>
    </row>
    <row r="62" ht="15.75" hidden="1" customHeight="1">
      <c r="A62" s="17" t="s">
        <v>29</v>
      </c>
      <c r="B62" s="9" t="s">
        <v>408</v>
      </c>
      <c r="C62" s="19" t="s">
        <v>172</v>
      </c>
      <c r="D62" s="22" t="s">
        <v>427</v>
      </c>
      <c r="E62" s="19" t="s">
        <v>88</v>
      </c>
      <c r="F62" s="19" t="s">
        <v>421</v>
      </c>
      <c r="G62" s="19" t="s">
        <v>57</v>
      </c>
      <c r="H62" s="24" t="s">
        <v>59</v>
      </c>
      <c r="I62" s="25" t="s">
        <v>428</v>
      </c>
      <c r="J62" s="19"/>
      <c r="K62" s="19" t="s">
        <v>105</v>
      </c>
      <c r="L62" s="22" t="s">
        <v>429</v>
      </c>
      <c r="M62" s="26"/>
      <c r="N62" s="26"/>
      <c r="O62" s="26"/>
      <c r="P62" s="26"/>
      <c r="Q62" s="26"/>
    </row>
    <row r="63" ht="15.75" customHeight="1">
      <c r="A63" s="17" t="s">
        <v>29</v>
      </c>
      <c r="B63" s="9" t="s">
        <v>408</v>
      </c>
      <c r="C63" s="19" t="s">
        <v>84</v>
      </c>
      <c r="D63" s="22" t="s">
        <v>430</v>
      </c>
      <c r="E63" s="19" t="s">
        <v>54</v>
      </c>
      <c r="F63" s="19" t="s">
        <v>89</v>
      </c>
      <c r="G63" s="19" t="s">
        <v>90</v>
      </c>
      <c r="H63" s="24" t="s">
        <v>59</v>
      </c>
      <c r="I63" s="25" t="s">
        <v>431</v>
      </c>
      <c r="J63" s="19" t="s">
        <v>319</v>
      </c>
      <c r="K63" s="19" t="s">
        <v>52</v>
      </c>
      <c r="L63" s="22" t="s">
        <v>432</v>
      </c>
      <c r="M63" s="26"/>
      <c r="N63" s="26"/>
      <c r="O63" s="26"/>
      <c r="P63" s="26"/>
      <c r="Q63" s="26"/>
    </row>
    <row r="64" ht="15.75" customHeight="1">
      <c r="A64" s="17" t="s">
        <v>29</v>
      </c>
      <c r="B64" s="9" t="s">
        <v>408</v>
      </c>
      <c r="C64" s="19" t="s">
        <v>84</v>
      </c>
      <c r="D64" s="22" t="s">
        <v>433</v>
      </c>
      <c r="E64" s="19" t="s">
        <v>54</v>
      </c>
      <c r="F64" s="19" t="s">
        <v>89</v>
      </c>
      <c r="G64" s="19" t="s">
        <v>90</v>
      </c>
      <c r="H64" s="24" t="s">
        <v>59</v>
      </c>
      <c r="I64" s="25" t="s">
        <v>434</v>
      </c>
      <c r="J64" s="19"/>
      <c r="K64" s="19" t="s">
        <v>40</v>
      </c>
      <c r="L64" s="22" t="s">
        <v>236</v>
      </c>
      <c r="M64" s="26"/>
      <c r="N64" s="26"/>
      <c r="O64" s="26"/>
      <c r="P64" s="26"/>
      <c r="Q64" s="26"/>
    </row>
    <row r="65" ht="15.75" customHeight="1">
      <c r="A65" s="17" t="s">
        <v>29</v>
      </c>
      <c r="B65" s="9" t="s">
        <v>408</v>
      </c>
      <c r="C65" s="19" t="s">
        <v>84</v>
      </c>
      <c r="D65" s="22" t="s">
        <v>435</v>
      </c>
      <c r="E65" s="19" t="s">
        <v>54</v>
      </c>
      <c r="F65" s="19" t="s">
        <v>89</v>
      </c>
      <c r="G65" s="19" t="s">
        <v>90</v>
      </c>
      <c r="H65" s="24" t="s">
        <v>59</v>
      </c>
      <c r="I65" s="25" t="s">
        <v>436</v>
      </c>
      <c r="J65" s="19"/>
      <c r="K65" s="19" t="s">
        <v>40</v>
      </c>
      <c r="L65" s="22" t="s">
        <v>236</v>
      </c>
      <c r="M65" s="26"/>
      <c r="N65" s="26"/>
      <c r="O65" s="26"/>
      <c r="P65" s="26"/>
      <c r="Q65" s="26"/>
    </row>
    <row r="66" ht="15.75" customHeight="1">
      <c r="A66" s="17" t="s">
        <v>29</v>
      </c>
      <c r="B66" s="9" t="s">
        <v>408</v>
      </c>
      <c r="C66" s="19" t="s">
        <v>84</v>
      </c>
      <c r="D66" s="22" t="s">
        <v>437</v>
      </c>
      <c r="E66" s="19" t="s">
        <v>54</v>
      </c>
      <c r="F66" s="19" t="s">
        <v>89</v>
      </c>
      <c r="G66" s="19" t="s">
        <v>90</v>
      </c>
      <c r="H66" s="24" t="s">
        <v>59</v>
      </c>
      <c r="I66" s="25" t="s">
        <v>438</v>
      </c>
      <c r="J66" s="19"/>
      <c r="K66" s="19" t="s">
        <v>40</v>
      </c>
      <c r="L66" s="22" t="s">
        <v>236</v>
      </c>
      <c r="M66" s="26"/>
      <c r="N66" s="26"/>
      <c r="O66" s="26"/>
      <c r="P66" s="26"/>
      <c r="Q66" s="26"/>
    </row>
    <row r="67" ht="15.75" customHeight="1">
      <c r="A67" s="17" t="s">
        <v>29</v>
      </c>
      <c r="B67" s="9" t="s">
        <v>408</v>
      </c>
      <c r="C67" s="19" t="s">
        <v>84</v>
      </c>
      <c r="D67" s="22" t="s">
        <v>439</v>
      </c>
      <c r="E67" s="19" t="s">
        <v>54</v>
      </c>
      <c r="F67" s="19" t="s">
        <v>89</v>
      </c>
      <c r="G67" s="19" t="s">
        <v>90</v>
      </c>
      <c r="H67" s="24" t="s">
        <v>59</v>
      </c>
      <c r="I67" s="25" t="s">
        <v>440</v>
      </c>
      <c r="J67" s="19" t="s">
        <v>140</v>
      </c>
      <c r="K67" s="19" t="s">
        <v>114</v>
      </c>
      <c r="L67" s="22"/>
      <c r="M67" s="26"/>
      <c r="N67" s="26"/>
      <c r="O67" s="26"/>
      <c r="P67" s="26"/>
      <c r="Q67" s="26"/>
    </row>
    <row r="68" ht="15.75" customHeight="1">
      <c r="A68" s="17" t="s">
        <v>29</v>
      </c>
      <c r="B68" s="9" t="s">
        <v>408</v>
      </c>
      <c r="C68" s="19" t="s">
        <v>84</v>
      </c>
      <c r="D68" s="22" t="s">
        <v>441</v>
      </c>
      <c r="E68" s="19" t="s">
        <v>54</v>
      </c>
      <c r="F68" s="19" t="s">
        <v>89</v>
      </c>
      <c r="G68" s="19" t="s">
        <v>90</v>
      </c>
      <c r="H68" s="24" t="s">
        <v>59</v>
      </c>
      <c r="I68" s="25" t="s">
        <v>442</v>
      </c>
      <c r="J68" s="19" t="s">
        <v>443</v>
      </c>
      <c r="K68" s="19" t="s">
        <v>92</v>
      </c>
      <c r="L68" s="22"/>
      <c r="M68" s="26"/>
      <c r="N68" s="26"/>
      <c r="O68" s="26"/>
      <c r="P68" s="26"/>
      <c r="Q68" s="26"/>
    </row>
    <row r="69" ht="15.75" customHeight="1">
      <c r="A69" s="17" t="s">
        <v>29</v>
      </c>
      <c r="B69" s="9" t="s">
        <v>408</v>
      </c>
      <c r="C69" s="19" t="s">
        <v>84</v>
      </c>
      <c r="D69" s="22" t="s">
        <v>444</v>
      </c>
      <c r="E69" s="19" t="s">
        <v>54</v>
      </c>
      <c r="F69" s="19" t="s">
        <v>89</v>
      </c>
      <c r="G69" s="19" t="s">
        <v>90</v>
      </c>
      <c r="H69" s="24" t="s">
        <v>59</v>
      </c>
      <c r="I69" s="25" t="s">
        <v>445</v>
      </c>
      <c r="J69" s="19" t="s">
        <v>319</v>
      </c>
      <c r="K69" s="19" t="s">
        <v>52</v>
      </c>
      <c r="L69" s="22"/>
      <c r="M69" s="26"/>
      <c r="N69" s="26"/>
      <c r="O69" s="26"/>
      <c r="P69" s="26"/>
      <c r="Q69" s="26"/>
    </row>
    <row r="70" ht="15.75" customHeight="1">
      <c r="A70" s="17" t="s">
        <v>29</v>
      </c>
      <c r="B70" s="9" t="s">
        <v>408</v>
      </c>
      <c r="C70" s="19" t="s">
        <v>84</v>
      </c>
      <c r="D70" s="22" t="s">
        <v>446</v>
      </c>
      <c r="E70" s="19" t="s">
        <v>54</v>
      </c>
      <c r="F70" s="19" t="s">
        <v>89</v>
      </c>
      <c r="G70" s="19" t="s">
        <v>90</v>
      </c>
      <c r="H70" s="24" t="s">
        <v>59</v>
      </c>
      <c r="I70" s="25" t="s">
        <v>447</v>
      </c>
      <c r="J70" s="19" t="s">
        <v>319</v>
      </c>
      <c r="K70" s="19" t="s">
        <v>52</v>
      </c>
      <c r="L70" s="22"/>
      <c r="M70" s="26"/>
      <c r="N70" s="26"/>
      <c r="O70" s="26"/>
      <c r="P70" s="26"/>
      <c r="Q70" s="26"/>
    </row>
    <row r="71" ht="15.75" customHeight="1">
      <c r="A71" s="17" t="s">
        <v>29</v>
      </c>
      <c r="B71" s="9" t="s">
        <v>408</v>
      </c>
      <c r="C71" s="19" t="s">
        <v>84</v>
      </c>
      <c r="D71" s="22" t="s">
        <v>448</v>
      </c>
      <c r="E71" s="19" t="s">
        <v>54</v>
      </c>
      <c r="F71" s="19" t="s">
        <v>89</v>
      </c>
      <c r="G71" s="19" t="s">
        <v>90</v>
      </c>
      <c r="H71" s="24" t="s">
        <v>59</v>
      </c>
      <c r="I71" s="25" t="s">
        <v>449</v>
      </c>
      <c r="J71" s="19" t="s">
        <v>319</v>
      </c>
      <c r="K71" s="19" t="s">
        <v>52</v>
      </c>
      <c r="L71" s="22"/>
      <c r="M71" s="26"/>
      <c r="N71" s="26"/>
      <c r="O71" s="26"/>
      <c r="P71" s="26"/>
      <c r="Q71" s="26"/>
    </row>
    <row r="72" ht="15.75" customHeight="1">
      <c r="A72" s="17" t="s">
        <v>29</v>
      </c>
      <c r="B72" s="9" t="s">
        <v>408</v>
      </c>
      <c r="C72" s="19" t="s">
        <v>84</v>
      </c>
      <c r="D72" s="22" t="s">
        <v>450</v>
      </c>
      <c r="E72" s="19" t="s">
        <v>54</v>
      </c>
      <c r="F72" s="19" t="s">
        <v>89</v>
      </c>
      <c r="G72" s="19" t="s">
        <v>90</v>
      </c>
      <c r="H72" s="24" t="s">
        <v>59</v>
      </c>
      <c r="I72" s="25" t="s">
        <v>451</v>
      </c>
      <c r="J72" s="19" t="s">
        <v>319</v>
      </c>
      <c r="K72" s="19" t="s">
        <v>52</v>
      </c>
      <c r="L72" s="22"/>
      <c r="M72" s="26"/>
      <c r="N72" s="26"/>
      <c r="O72" s="26"/>
      <c r="P72" s="26"/>
      <c r="Q72" s="26"/>
    </row>
    <row r="73" ht="15.75" customHeight="1">
      <c r="A73" s="17" t="s">
        <v>29</v>
      </c>
      <c r="B73" s="9" t="s">
        <v>408</v>
      </c>
      <c r="C73" s="19" t="s">
        <v>84</v>
      </c>
      <c r="D73" s="22" t="s">
        <v>452</v>
      </c>
      <c r="E73" s="19" t="s">
        <v>54</v>
      </c>
      <c r="F73" s="19" t="s">
        <v>103</v>
      </c>
      <c r="G73" s="19" t="s">
        <v>90</v>
      </c>
      <c r="H73" s="24" t="s">
        <v>59</v>
      </c>
      <c r="I73" s="25" t="s">
        <v>453</v>
      </c>
      <c r="J73" s="19" t="s">
        <v>319</v>
      </c>
      <c r="K73" s="19" t="s">
        <v>52</v>
      </c>
      <c r="L73" s="22"/>
      <c r="M73" s="26"/>
      <c r="N73" s="26"/>
      <c r="O73" s="26"/>
      <c r="P73" s="26"/>
      <c r="Q73" s="26"/>
    </row>
    <row r="74" ht="15.75" customHeight="1">
      <c r="A74" s="17" t="s">
        <v>29</v>
      </c>
      <c r="B74" s="9" t="s">
        <v>408</v>
      </c>
      <c r="C74" s="19" t="s">
        <v>84</v>
      </c>
      <c r="D74" s="22" t="s">
        <v>454</v>
      </c>
      <c r="E74" s="19" t="s">
        <v>54</v>
      </c>
      <c r="F74" s="19" t="s">
        <v>103</v>
      </c>
      <c r="G74" s="19" t="s">
        <v>90</v>
      </c>
      <c r="H74" s="24" t="s">
        <v>59</v>
      </c>
      <c r="I74" s="25" t="s">
        <v>455</v>
      </c>
      <c r="J74" s="19" t="s">
        <v>456</v>
      </c>
      <c r="K74" s="19" t="s">
        <v>52</v>
      </c>
      <c r="L74" s="22"/>
      <c r="M74" s="26"/>
      <c r="N74" s="26"/>
      <c r="O74" s="26"/>
      <c r="P74" s="26"/>
      <c r="Q74" s="26"/>
    </row>
    <row r="75" ht="15.75" customHeight="1">
      <c r="A75" s="17" t="s">
        <v>29</v>
      </c>
      <c r="B75" s="9" t="s">
        <v>408</v>
      </c>
      <c r="C75" s="19" t="s">
        <v>84</v>
      </c>
      <c r="D75" s="22" t="s">
        <v>457</v>
      </c>
      <c r="E75" s="19" t="s">
        <v>54</v>
      </c>
      <c r="F75" s="19" t="s">
        <v>89</v>
      </c>
      <c r="G75" s="19" t="s">
        <v>90</v>
      </c>
      <c r="H75" s="24" t="s">
        <v>59</v>
      </c>
      <c r="I75" s="25" t="s">
        <v>458</v>
      </c>
      <c r="J75" s="19" t="s">
        <v>319</v>
      </c>
      <c r="K75" s="19" t="s">
        <v>52</v>
      </c>
      <c r="L75" s="22"/>
      <c r="M75" s="26"/>
      <c r="N75" s="26"/>
      <c r="O75" s="26"/>
      <c r="P75" s="26"/>
      <c r="Q75" s="26"/>
    </row>
    <row r="76" ht="15.75" customHeight="1">
      <c r="A76" s="17" t="s">
        <v>29</v>
      </c>
      <c r="B76" s="9" t="s">
        <v>408</v>
      </c>
      <c r="C76" s="19" t="s">
        <v>84</v>
      </c>
      <c r="D76" s="22" t="s">
        <v>459</v>
      </c>
      <c r="E76" s="19" t="s">
        <v>54</v>
      </c>
      <c r="F76" s="19" t="s">
        <v>89</v>
      </c>
      <c r="G76" s="19" t="s">
        <v>90</v>
      </c>
      <c r="H76" s="24" t="s">
        <v>59</v>
      </c>
      <c r="I76" s="25" t="s">
        <v>460</v>
      </c>
      <c r="J76" s="19" t="s">
        <v>319</v>
      </c>
      <c r="K76" s="19" t="s">
        <v>52</v>
      </c>
      <c r="L76" s="22"/>
      <c r="M76" s="26"/>
      <c r="N76" s="26"/>
      <c r="O76" s="26"/>
      <c r="P76" s="26"/>
      <c r="Q76" s="26"/>
    </row>
    <row r="77" ht="15.75" customHeight="1">
      <c r="A77" s="17" t="s">
        <v>29</v>
      </c>
      <c r="B77" s="9" t="s">
        <v>408</v>
      </c>
      <c r="C77" s="19" t="s">
        <v>84</v>
      </c>
      <c r="D77" s="22" t="s">
        <v>461</v>
      </c>
      <c r="E77" s="19" t="s">
        <v>54</v>
      </c>
      <c r="F77" s="19" t="s">
        <v>89</v>
      </c>
      <c r="G77" s="19" t="s">
        <v>90</v>
      </c>
      <c r="H77" s="24" t="s">
        <v>59</v>
      </c>
      <c r="I77" s="25" t="s">
        <v>462</v>
      </c>
      <c r="J77" s="19" t="s">
        <v>95</v>
      </c>
      <c r="K77" s="19" t="s">
        <v>52</v>
      </c>
      <c r="L77" s="22"/>
      <c r="M77" s="26"/>
      <c r="N77" s="26"/>
      <c r="O77" s="26"/>
      <c r="P77" s="26"/>
      <c r="Q77" s="26"/>
    </row>
    <row r="78" ht="15.75" customHeight="1">
      <c r="A78" s="17" t="s">
        <v>29</v>
      </c>
      <c r="B78" s="9" t="s">
        <v>408</v>
      </c>
      <c r="C78" s="19" t="s">
        <v>84</v>
      </c>
      <c r="D78" s="22" t="s">
        <v>463</v>
      </c>
      <c r="E78" s="19" t="s">
        <v>54</v>
      </c>
      <c r="F78" s="19" t="s">
        <v>103</v>
      </c>
      <c r="G78" s="19" t="s">
        <v>90</v>
      </c>
      <c r="H78" s="24" t="s">
        <v>59</v>
      </c>
      <c r="I78" s="25" t="s">
        <v>464</v>
      </c>
      <c r="J78" s="19" t="s">
        <v>456</v>
      </c>
      <c r="K78" s="19" t="s">
        <v>52</v>
      </c>
      <c r="L78" s="22"/>
      <c r="M78" s="26"/>
      <c r="N78" s="26"/>
      <c r="O78" s="26"/>
      <c r="P78" s="26"/>
      <c r="Q78" s="26"/>
    </row>
    <row r="79" ht="15.75" customHeight="1">
      <c r="A79" s="17" t="s">
        <v>29</v>
      </c>
      <c r="B79" s="9" t="s">
        <v>408</v>
      </c>
      <c r="C79" s="19" t="s">
        <v>84</v>
      </c>
      <c r="D79" s="22" t="s">
        <v>465</v>
      </c>
      <c r="E79" s="19" t="s">
        <v>54</v>
      </c>
      <c r="F79" s="19" t="s">
        <v>89</v>
      </c>
      <c r="G79" s="19" t="s">
        <v>90</v>
      </c>
      <c r="H79" s="24" t="s">
        <v>59</v>
      </c>
      <c r="I79" s="25" t="s">
        <v>466</v>
      </c>
      <c r="J79" s="19" t="s">
        <v>319</v>
      </c>
      <c r="K79" s="19" t="s">
        <v>52</v>
      </c>
      <c r="L79" s="22"/>
      <c r="M79" s="26"/>
      <c r="N79" s="26"/>
      <c r="O79" s="26"/>
      <c r="P79" s="26"/>
      <c r="Q79" s="26"/>
    </row>
    <row r="80" ht="15.75" customHeight="1">
      <c r="A80" s="17" t="s">
        <v>29</v>
      </c>
      <c r="B80" s="9" t="s">
        <v>408</v>
      </c>
      <c r="C80" s="19" t="s">
        <v>84</v>
      </c>
      <c r="D80" s="22" t="s">
        <v>467</v>
      </c>
      <c r="E80" s="19" t="s">
        <v>54</v>
      </c>
      <c r="F80" s="19" t="s">
        <v>89</v>
      </c>
      <c r="G80" s="19" t="s">
        <v>90</v>
      </c>
      <c r="H80" s="24" t="s">
        <v>59</v>
      </c>
      <c r="I80" s="25" t="s">
        <v>468</v>
      </c>
      <c r="J80" s="19" t="s">
        <v>95</v>
      </c>
      <c r="K80" s="19" t="s">
        <v>52</v>
      </c>
      <c r="L80" s="22"/>
      <c r="M80" s="26"/>
      <c r="N80" s="26"/>
      <c r="O80" s="26"/>
      <c r="P80" s="26"/>
      <c r="Q80" s="26"/>
    </row>
    <row r="81" ht="15.75" customHeight="1">
      <c r="A81" s="17" t="s">
        <v>29</v>
      </c>
      <c r="B81" s="9" t="s">
        <v>408</v>
      </c>
      <c r="C81" s="19" t="s">
        <v>84</v>
      </c>
      <c r="D81" s="22" t="s">
        <v>469</v>
      </c>
      <c r="E81" s="19" t="s">
        <v>54</v>
      </c>
      <c r="F81" s="19" t="s">
        <v>89</v>
      </c>
      <c r="G81" s="19" t="s">
        <v>90</v>
      </c>
      <c r="H81" s="24" t="s">
        <v>59</v>
      </c>
      <c r="I81" s="25" t="s">
        <v>470</v>
      </c>
      <c r="J81" s="19" t="s">
        <v>319</v>
      </c>
      <c r="K81" s="19" t="s">
        <v>52</v>
      </c>
      <c r="L81" s="22" t="s">
        <v>471</v>
      </c>
      <c r="M81" s="26"/>
      <c r="N81" s="26"/>
      <c r="O81" s="26"/>
      <c r="P81" s="26"/>
      <c r="Q81" s="26"/>
    </row>
    <row r="82" ht="15.75" hidden="1" customHeight="1">
      <c r="A82" s="17" t="s">
        <v>29</v>
      </c>
      <c r="B82" s="9" t="s">
        <v>408</v>
      </c>
      <c r="C82" s="19" t="s">
        <v>84</v>
      </c>
      <c r="D82" s="22" t="s">
        <v>472</v>
      </c>
      <c r="E82" s="19" t="s">
        <v>88</v>
      </c>
      <c r="F82" s="19" t="s">
        <v>89</v>
      </c>
      <c r="G82" s="19" t="s">
        <v>57</v>
      </c>
      <c r="H82" s="24" t="s">
        <v>59</v>
      </c>
      <c r="I82" s="25" t="s">
        <v>473</v>
      </c>
      <c r="J82" s="19" t="s">
        <v>95</v>
      </c>
      <c r="K82" s="19" t="s">
        <v>52</v>
      </c>
      <c r="L82" s="22" t="s">
        <v>474</v>
      </c>
      <c r="M82" s="26"/>
      <c r="N82" s="26"/>
      <c r="O82" s="26"/>
      <c r="P82" s="26"/>
      <c r="Q82" s="26"/>
    </row>
    <row r="83" ht="15.75" hidden="1" customHeight="1">
      <c r="A83" s="17" t="s">
        <v>29</v>
      </c>
      <c r="B83" s="9" t="s">
        <v>408</v>
      </c>
      <c r="C83" s="19" t="s">
        <v>84</v>
      </c>
      <c r="D83" s="22" t="s">
        <v>340</v>
      </c>
      <c r="E83" s="19" t="s">
        <v>88</v>
      </c>
      <c r="F83" s="19" t="s">
        <v>89</v>
      </c>
      <c r="G83" s="19" t="s">
        <v>57</v>
      </c>
      <c r="H83" s="24" t="s">
        <v>59</v>
      </c>
      <c r="I83" s="25" t="s">
        <v>475</v>
      </c>
      <c r="J83" s="19" t="s">
        <v>95</v>
      </c>
      <c r="K83" s="19" t="s">
        <v>52</v>
      </c>
      <c r="L83" s="22" t="s">
        <v>342</v>
      </c>
      <c r="M83" s="26"/>
      <c r="N83" s="26"/>
      <c r="O83" s="26"/>
      <c r="P83" s="26"/>
      <c r="Q83" s="26"/>
    </row>
    <row r="84" ht="15.75" customHeight="1">
      <c r="A84" s="17" t="s">
        <v>29</v>
      </c>
      <c r="B84" s="9" t="s">
        <v>408</v>
      </c>
      <c r="C84" s="19" t="s">
        <v>84</v>
      </c>
      <c r="D84" s="22" t="s">
        <v>476</v>
      </c>
      <c r="E84" s="19" t="s">
        <v>54</v>
      </c>
      <c r="F84" s="19" t="s">
        <v>89</v>
      </c>
      <c r="G84" s="19" t="s">
        <v>90</v>
      </c>
      <c r="H84" s="24" t="s">
        <v>59</v>
      </c>
      <c r="I84" s="25" t="s">
        <v>477</v>
      </c>
      <c r="J84" s="19"/>
      <c r="K84" s="19" t="s">
        <v>40</v>
      </c>
      <c r="L84" s="22" t="s">
        <v>236</v>
      </c>
      <c r="M84" s="26"/>
      <c r="N84" s="26"/>
      <c r="O84" s="26"/>
      <c r="P84" s="26"/>
      <c r="Q84" s="26"/>
    </row>
    <row r="85" ht="15.75" customHeight="1">
      <c r="A85" s="17" t="s">
        <v>29</v>
      </c>
      <c r="B85" s="9" t="s">
        <v>408</v>
      </c>
      <c r="C85" s="19" t="s">
        <v>84</v>
      </c>
      <c r="D85" s="22" t="s">
        <v>476</v>
      </c>
      <c r="E85" s="19" t="s">
        <v>54</v>
      </c>
      <c r="F85" s="19" t="s">
        <v>103</v>
      </c>
      <c r="G85" s="19" t="s">
        <v>90</v>
      </c>
      <c r="H85" s="24" t="s">
        <v>59</v>
      </c>
      <c r="I85" s="25" t="s">
        <v>478</v>
      </c>
      <c r="J85" s="19"/>
      <c r="K85" s="19" t="s">
        <v>40</v>
      </c>
      <c r="L85" s="22" t="s">
        <v>236</v>
      </c>
      <c r="M85" s="26"/>
      <c r="N85" s="26"/>
      <c r="O85" s="26"/>
      <c r="P85" s="26"/>
      <c r="Q85" s="26"/>
    </row>
    <row r="86" ht="15.75" customHeight="1">
      <c r="A86" s="17" t="s">
        <v>29</v>
      </c>
      <c r="B86" s="9" t="s">
        <v>408</v>
      </c>
      <c r="C86" s="19" t="s">
        <v>84</v>
      </c>
      <c r="D86" s="22" t="s">
        <v>479</v>
      </c>
      <c r="E86" s="19" t="s">
        <v>54</v>
      </c>
      <c r="F86" s="19" t="s">
        <v>89</v>
      </c>
      <c r="G86" s="19" t="s">
        <v>90</v>
      </c>
      <c r="H86" s="24" t="s">
        <v>59</v>
      </c>
      <c r="I86" s="25" t="s">
        <v>480</v>
      </c>
      <c r="J86" s="19"/>
      <c r="K86" s="19" t="s">
        <v>40</v>
      </c>
      <c r="L86" s="22" t="s">
        <v>236</v>
      </c>
      <c r="M86" s="26"/>
      <c r="N86" s="26"/>
      <c r="O86" s="26"/>
      <c r="P86" s="26"/>
      <c r="Q86" s="26"/>
    </row>
    <row r="87" ht="15.75" customHeight="1">
      <c r="A87" s="17" t="s">
        <v>29</v>
      </c>
      <c r="B87" s="9" t="s">
        <v>408</v>
      </c>
      <c r="C87" s="19" t="s">
        <v>84</v>
      </c>
      <c r="D87" s="22" t="s">
        <v>481</v>
      </c>
      <c r="E87" s="19" t="s">
        <v>54</v>
      </c>
      <c r="F87" s="19" t="s">
        <v>103</v>
      </c>
      <c r="G87" s="19" t="s">
        <v>90</v>
      </c>
      <c r="H87" s="24" t="s">
        <v>59</v>
      </c>
      <c r="I87" s="25" t="s">
        <v>482</v>
      </c>
      <c r="J87" s="19" t="s">
        <v>95</v>
      </c>
      <c r="K87" s="19" t="s">
        <v>52</v>
      </c>
      <c r="L87" s="22"/>
      <c r="M87" s="26"/>
      <c r="N87" s="26"/>
      <c r="O87" s="26"/>
      <c r="P87" s="26"/>
      <c r="Q87" s="26"/>
    </row>
    <row r="88" ht="15.75" customHeight="1">
      <c r="A88" s="17" t="s">
        <v>29</v>
      </c>
      <c r="B88" s="9" t="s">
        <v>408</v>
      </c>
      <c r="C88" s="19" t="s">
        <v>84</v>
      </c>
      <c r="D88" s="22" t="s">
        <v>483</v>
      </c>
      <c r="E88" s="19" t="s">
        <v>54</v>
      </c>
      <c r="F88" s="19" t="s">
        <v>89</v>
      </c>
      <c r="G88" s="19" t="s">
        <v>90</v>
      </c>
      <c r="H88" s="24" t="s">
        <v>59</v>
      </c>
      <c r="I88" s="25" t="s">
        <v>484</v>
      </c>
      <c r="J88" s="19" t="s">
        <v>95</v>
      </c>
      <c r="K88" s="19" t="s">
        <v>52</v>
      </c>
      <c r="L88" s="22"/>
      <c r="M88" s="26"/>
      <c r="N88" s="26"/>
      <c r="O88" s="26"/>
      <c r="P88" s="26"/>
      <c r="Q88" s="26"/>
    </row>
    <row r="89" ht="15.75" customHeight="1">
      <c r="A89" s="17" t="s">
        <v>29</v>
      </c>
      <c r="B89" s="9" t="s">
        <v>408</v>
      </c>
      <c r="C89" s="19" t="s">
        <v>84</v>
      </c>
      <c r="D89" s="22" t="s">
        <v>485</v>
      </c>
      <c r="E89" s="19" t="s">
        <v>54</v>
      </c>
      <c r="F89" s="19" t="s">
        <v>89</v>
      </c>
      <c r="G89" s="19" t="s">
        <v>90</v>
      </c>
      <c r="H89" s="24" t="s">
        <v>59</v>
      </c>
      <c r="I89" s="25" t="s">
        <v>486</v>
      </c>
      <c r="J89" s="19" t="s">
        <v>319</v>
      </c>
      <c r="K89" s="19" t="s">
        <v>52</v>
      </c>
      <c r="L89" s="22"/>
      <c r="M89" s="26"/>
      <c r="N89" s="26"/>
      <c r="O89" s="26"/>
      <c r="P89" s="26"/>
      <c r="Q89" s="26"/>
    </row>
    <row r="90" ht="15.75" customHeight="1">
      <c r="A90" s="17" t="s">
        <v>29</v>
      </c>
      <c r="B90" s="9" t="s">
        <v>408</v>
      </c>
      <c r="C90" s="19" t="s">
        <v>358</v>
      </c>
      <c r="D90" s="22" t="s">
        <v>487</v>
      </c>
      <c r="E90" s="19" t="s">
        <v>54</v>
      </c>
      <c r="F90" s="19" t="s">
        <v>488</v>
      </c>
      <c r="G90" s="19" t="s">
        <v>90</v>
      </c>
      <c r="H90" s="24" t="s">
        <v>59</v>
      </c>
      <c r="I90" s="25" t="s">
        <v>489</v>
      </c>
      <c r="J90" s="19" t="s">
        <v>490</v>
      </c>
      <c r="K90" s="19" t="s">
        <v>78</v>
      </c>
      <c r="L90" s="22"/>
      <c r="M90" s="26"/>
      <c r="N90" s="26"/>
      <c r="O90" s="26"/>
      <c r="P90" s="26"/>
      <c r="Q90" s="26"/>
    </row>
    <row r="91" ht="15.75" hidden="1" customHeight="1">
      <c r="A91" s="17" t="s">
        <v>29</v>
      </c>
      <c r="B91" s="9" t="s">
        <v>491</v>
      </c>
      <c r="C91" s="19" t="s">
        <v>492</v>
      </c>
      <c r="D91" s="22" t="s">
        <v>493</v>
      </c>
      <c r="E91" s="19" t="s">
        <v>88</v>
      </c>
      <c r="F91" s="19" t="s">
        <v>494</v>
      </c>
      <c r="G91" s="19" t="s">
        <v>135</v>
      </c>
      <c r="H91" s="24" t="s">
        <v>59</v>
      </c>
      <c r="I91" s="25" t="s">
        <v>495</v>
      </c>
      <c r="J91" s="19" t="s">
        <v>456</v>
      </c>
      <c r="K91" s="19" t="s">
        <v>13</v>
      </c>
      <c r="L91" s="22" t="s">
        <v>496</v>
      </c>
      <c r="M91" s="26"/>
      <c r="N91" s="26"/>
      <c r="O91" s="26"/>
      <c r="P91" s="26"/>
      <c r="Q91" s="26"/>
    </row>
    <row r="92" ht="15.75" hidden="1" customHeight="1">
      <c r="A92" s="17" t="s">
        <v>29</v>
      </c>
      <c r="B92" s="9" t="s">
        <v>491</v>
      </c>
      <c r="C92" s="19" t="s">
        <v>492</v>
      </c>
      <c r="D92" s="22" t="s">
        <v>497</v>
      </c>
      <c r="E92" s="19" t="s">
        <v>88</v>
      </c>
      <c r="F92" s="19" t="s">
        <v>494</v>
      </c>
      <c r="G92" s="19" t="s">
        <v>135</v>
      </c>
      <c r="H92" s="24" t="s">
        <v>59</v>
      </c>
      <c r="I92" s="25" t="s">
        <v>498</v>
      </c>
      <c r="J92" s="19"/>
      <c r="K92" s="19" t="s">
        <v>234</v>
      </c>
      <c r="L92" s="22" t="s">
        <v>499</v>
      </c>
      <c r="M92" s="26"/>
      <c r="N92" s="26"/>
      <c r="O92" s="26"/>
      <c r="P92" s="26"/>
      <c r="Q92" s="26"/>
    </row>
    <row r="93" ht="15.75" hidden="1" customHeight="1">
      <c r="A93" s="17" t="s">
        <v>29</v>
      </c>
      <c r="B93" s="9" t="s">
        <v>491</v>
      </c>
      <c r="C93" s="19" t="s">
        <v>500</v>
      </c>
      <c r="D93" s="22" t="s">
        <v>501</v>
      </c>
      <c r="E93" s="19" t="s">
        <v>88</v>
      </c>
      <c r="F93" s="19" t="s">
        <v>502</v>
      </c>
      <c r="G93" s="19" t="s">
        <v>135</v>
      </c>
      <c r="H93" s="24" t="s">
        <v>59</v>
      </c>
      <c r="I93" s="25" t="s">
        <v>503</v>
      </c>
      <c r="J93" s="19" t="s">
        <v>319</v>
      </c>
      <c r="K93" s="19" t="s">
        <v>52</v>
      </c>
      <c r="L93" s="22" t="s">
        <v>504</v>
      </c>
      <c r="M93" s="26"/>
      <c r="N93" s="26"/>
      <c r="O93" s="26"/>
      <c r="P93" s="26"/>
      <c r="Q93" s="26"/>
    </row>
    <row r="94" ht="15.75" hidden="1" customHeight="1">
      <c r="A94" s="17" t="s">
        <v>29</v>
      </c>
      <c r="B94" s="9" t="s">
        <v>505</v>
      </c>
      <c r="C94" s="19" t="s">
        <v>506</v>
      </c>
      <c r="D94" s="22" t="s">
        <v>507</v>
      </c>
      <c r="E94" s="19" t="s">
        <v>88</v>
      </c>
      <c r="F94" s="19" t="s">
        <v>508</v>
      </c>
      <c r="G94" s="19" t="s">
        <v>57</v>
      </c>
      <c r="H94" s="24" t="s">
        <v>59</v>
      </c>
      <c r="I94" s="25" t="s">
        <v>509</v>
      </c>
      <c r="J94" s="19" t="s">
        <v>510</v>
      </c>
      <c r="K94" s="19" t="s">
        <v>130</v>
      </c>
      <c r="L94" s="22" t="s">
        <v>511</v>
      </c>
      <c r="M94" s="26"/>
      <c r="N94" s="26"/>
      <c r="O94" s="26"/>
      <c r="P94" s="26"/>
      <c r="Q94" s="26"/>
    </row>
    <row r="95" ht="15.75" hidden="1" customHeight="1">
      <c r="A95" s="17" t="s">
        <v>29</v>
      </c>
      <c r="B95" s="9" t="s">
        <v>505</v>
      </c>
      <c r="C95" s="19" t="s">
        <v>203</v>
      </c>
      <c r="D95" s="22" t="s">
        <v>512</v>
      </c>
      <c r="E95" s="19" t="s">
        <v>88</v>
      </c>
      <c r="F95" s="19" t="s">
        <v>295</v>
      </c>
      <c r="G95" s="19" t="s">
        <v>135</v>
      </c>
      <c r="H95" s="24" t="s">
        <v>59</v>
      </c>
      <c r="I95" s="25" t="s">
        <v>513</v>
      </c>
      <c r="J95" s="19" t="s">
        <v>140</v>
      </c>
      <c r="K95" s="19" t="s">
        <v>13</v>
      </c>
      <c r="L95" s="22" t="s">
        <v>514</v>
      </c>
      <c r="M95" s="26"/>
      <c r="N95" s="26"/>
      <c r="O95" s="26"/>
      <c r="P95" s="26"/>
      <c r="Q95" s="26"/>
    </row>
    <row r="96" ht="15.75" hidden="1" customHeight="1">
      <c r="A96" s="17" t="s">
        <v>29</v>
      </c>
      <c r="B96" s="9" t="s">
        <v>515</v>
      </c>
      <c r="C96" s="19" t="s">
        <v>516</v>
      </c>
      <c r="D96" s="22" t="s">
        <v>517</v>
      </c>
      <c r="E96" s="19" t="s">
        <v>88</v>
      </c>
      <c r="F96" s="19" t="s">
        <v>89</v>
      </c>
      <c r="G96" s="19" t="s">
        <v>57</v>
      </c>
      <c r="H96" s="22" t="s">
        <v>155</v>
      </c>
      <c r="I96" s="25" t="s">
        <v>518</v>
      </c>
      <c r="J96" s="19" t="s">
        <v>510</v>
      </c>
      <c r="K96" s="19" t="s">
        <v>130</v>
      </c>
      <c r="L96" s="22" t="s">
        <v>519</v>
      </c>
      <c r="M96" s="26"/>
      <c r="N96" s="26"/>
      <c r="O96" s="26"/>
      <c r="P96" s="26"/>
      <c r="Q96" s="26"/>
    </row>
    <row r="97" ht="15.75" hidden="1" customHeight="1">
      <c r="A97" s="17" t="s">
        <v>29</v>
      </c>
      <c r="B97" s="9" t="s">
        <v>515</v>
      </c>
      <c r="C97" s="19" t="s">
        <v>403</v>
      </c>
      <c r="D97" s="22" t="s">
        <v>520</v>
      </c>
      <c r="E97" s="19" t="s">
        <v>88</v>
      </c>
      <c r="F97" s="19" t="s">
        <v>521</v>
      </c>
      <c r="G97" s="19" t="s">
        <v>57</v>
      </c>
      <c r="H97" s="22" t="s">
        <v>155</v>
      </c>
      <c r="I97" s="25" t="s">
        <v>522</v>
      </c>
      <c r="J97" s="19"/>
      <c r="K97" s="19" t="s">
        <v>13</v>
      </c>
      <c r="L97" s="22" t="s">
        <v>523</v>
      </c>
      <c r="M97" s="26"/>
      <c r="N97" s="26"/>
      <c r="O97" s="26"/>
      <c r="P97" s="26"/>
      <c r="Q97" s="26"/>
    </row>
    <row r="98" ht="15.75" hidden="1" customHeight="1">
      <c r="A98" s="17" t="s">
        <v>29</v>
      </c>
      <c r="B98" s="9" t="s">
        <v>515</v>
      </c>
      <c r="C98" s="19" t="s">
        <v>362</v>
      </c>
      <c r="D98" s="22" t="s">
        <v>524</v>
      </c>
      <c r="E98" s="19" t="s">
        <v>88</v>
      </c>
      <c r="F98" s="19" t="s">
        <v>364</v>
      </c>
      <c r="G98" s="19" t="s">
        <v>57</v>
      </c>
      <c r="H98" s="22" t="s">
        <v>155</v>
      </c>
      <c r="I98" s="25" t="s">
        <v>525</v>
      </c>
      <c r="J98" s="19" t="s">
        <v>526</v>
      </c>
      <c r="K98" s="19" t="s">
        <v>130</v>
      </c>
      <c r="L98" s="22" t="s">
        <v>527</v>
      </c>
      <c r="M98" s="26"/>
      <c r="N98" s="26"/>
      <c r="O98" s="26"/>
      <c r="P98" s="26"/>
      <c r="Q98" s="26"/>
    </row>
    <row r="99" ht="15.75" hidden="1" customHeight="1">
      <c r="A99" s="17" t="s">
        <v>29</v>
      </c>
      <c r="B99" s="9" t="s">
        <v>515</v>
      </c>
      <c r="C99" s="19" t="s">
        <v>362</v>
      </c>
      <c r="D99" s="22" t="s">
        <v>528</v>
      </c>
      <c r="E99" s="19" t="s">
        <v>88</v>
      </c>
      <c r="F99" s="19" t="s">
        <v>364</v>
      </c>
      <c r="G99" s="19" t="s">
        <v>57</v>
      </c>
      <c r="H99" s="22" t="s">
        <v>155</v>
      </c>
      <c r="I99" s="25" t="s">
        <v>529</v>
      </c>
      <c r="J99" s="19" t="s">
        <v>530</v>
      </c>
      <c r="K99" s="19" t="s">
        <v>130</v>
      </c>
      <c r="L99" s="22" t="s">
        <v>527</v>
      </c>
      <c r="M99" s="26"/>
      <c r="N99" s="26"/>
      <c r="O99" s="26"/>
      <c r="P99" s="26"/>
      <c r="Q99" s="26"/>
    </row>
    <row r="100" ht="15.75" hidden="1" customHeight="1">
      <c r="A100" s="17" t="s">
        <v>29</v>
      </c>
      <c r="B100" s="9" t="s">
        <v>515</v>
      </c>
      <c r="C100" s="19" t="s">
        <v>531</v>
      </c>
      <c r="D100" s="22" t="s">
        <v>532</v>
      </c>
      <c r="E100" s="19" t="s">
        <v>88</v>
      </c>
      <c r="F100" s="19" t="s">
        <v>533</v>
      </c>
      <c r="G100" s="19" t="s">
        <v>135</v>
      </c>
      <c r="H100" s="24" t="s">
        <v>59</v>
      </c>
      <c r="I100" s="25" t="s">
        <v>534</v>
      </c>
      <c r="J100" s="19" t="s">
        <v>535</v>
      </c>
      <c r="K100" s="19" t="s">
        <v>40</v>
      </c>
      <c r="L100" s="22" t="s">
        <v>536</v>
      </c>
      <c r="M100" s="26"/>
      <c r="N100" s="26"/>
      <c r="O100" s="26"/>
      <c r="P100" s="26"/>
      <c r="Q100" s="26"/>
    </row>
    <row r="101" ht="15.75" hidden="1" customHeight="1">
      <c r="A101" s="17" t="s">
        <v>29</v>
      </c>
      <c r="B101" s="9" t="s">
        <v>515</v>
      </c>
      <c r="C101" s="19" t="s">
        <v>531</v>
      </c>
      <c r="D101" s="22" t="s">
        <v>532</v>
      </c>
      <c r="E101" s="19" t="s">
        <v>54</v>
      </c>
      <c r="F101" s="19" t="s">
        <v>537</v>
      </c>
      <c r="G101" s="19" t="s">
        <v>135</v>
      </c>
      <c r="H101" s="24" t="s">
        <v>59</v>
      </c>
      <c r="I101" s="25" t="s">
        <v>538</v>
      </c>
      <c r="J101" s="19"/>
      <c r="K101" s="19" t="s">
        <v>122</v>
      </c>
      <c r="L101" s="22" t="s">
        <v>539</v>
      </c>
      <c r="M101" s="26"/>
      <c r="N101" s="26"/>
      <c r="O101" s="26"/>
      <c r="P101" s="26"/>
      <c r="Q101" s="26"/>
    </row>
    <row r="102" ht="15.75" hidden="1" customHeight="1">
      <c r="A102" s="17" t="s">
        <v>29</v>
      </c>
      <c r="B102" s="9" t="s">
        <v>515</v>
      </c>
      <c r="C102" s="19" t="s">
        <v>531</v>
      </c>
      <c r="D102" s="22" t="s">
        <v>540</v>
      </c>
      <c r="E102" s="19" t="s">
        <v>88</v>
      </c>
      <c r="F102" s="19" t="s">
        <v>295</v>
      </c>
      <c r="G102" s="19" t="s">
        <v>135</v>
      </c>
      <c r="H102" s="24" t="s">
        <v>59</v>
      </c>
      <c r="I102" s="25" t="s">
        <v>534</v>
      </c>
      <c r="J102" s="19"/>
      <c r="K102" s="19" t="s">
        <v>40</v>
      </c>
      <c r="L102" s="22" t="s">
        <v>541</v>
      </c>
      <c r="M102" s="26"/>
      <c r="N102" s="26"/>
      <c r="O102" s="26"/>
      <c r="P102" s="26"/>
      <c r="Q102" s="26"/>
    </row>
    <row r="103" ht="15.75" hidden="1" customHeight="1">
      <c r="A103" s="17" t="s">
        <v>29</v>
      </c>
      <c r="B103" s="9" t="s">
        <v>515</v>
      </c>
      <c r="C103" s="19" t="s">
        <v>531</v>
      </c>
      <c r="D103" s="22" t="s">
        <v>542</v>
      </c>
      <c r="E103" s="19" t="s">
        <v>88</v>
      </c>
      <c r="F103" s="19" t="s">
        <v>295</v>
      </c>
      <c r="G103" s="19" t="s">
        <v>135</v>
      </c>
      <c r="H103" s="24" t="s">
        <v>59</v>
      </c>
      <c r="I103" s="25" t="s">
        <v>538</v>
      </c>
      <c r="J103" s="19" t="s">
        <v>140</v>
      </c>
      <c r="K103" s="19" t="s">
        <v>13</v>
      </c>
      <c r="L103" s="22" t="s">
        <v>543</v>
      </c>
      <c r="M103" s="26"/>
      <c r="N103" s="26"/>
      <c r="O103" s="26"/>
      <c r="P103" s="26"/>
      <c r="Q103" s="26"/>
    </row>
    <row r="104" ht="15.75" customHeight="1">
      <c r="A104" s="17" t="s">
        <v>29</v>
      </c>
      <c r="B104" s="9" t="s">
        <v>515</v>
      </c>
      <c r="C104" s="19" t="s">
        <v>84</v>
      </c>
      <c r="D104" s="22" t="s">
        <v>544</v>
      </c>
      <c r="E104" s="19" t="s">
        <v>116</v>
      </c>
      <c r="F104" s="19" t="s">
        <v>89</v>
      </c>
      <c r="G104" s="19" t="s">
        <v>90</v>
      </c>
      <c r="H104" s="24" t="s">
        <v>59</v>
      </c>
      <c r="I104" s="25" t="s">
        <v>545</v>
      </c>
      <c r="J104" s="19" t="s">
        <v>456</v>
      </c>
      <c r="K104" s="19" t="s">
        <v>52</v>
      </c>
      <c r="L104" s="22"/>
      <c r="M104" s="26"/>
      <c r="N104" s="26"/>
      <c r="O104" s="26"/>
      <c r="P104" s="26"/>
      <c r="Q104" s="26"/>
    </row>
    <row r="105" ht="15.75" customHeight="1">
      <c r="A105" s="17" t="s">
        <v>29</v>
      </c>
      <c r="B105" s="9" t="s">
        <v>515</v>
      </c>
      <c r="C105" s="19" t="s">
        <v>84</v>
      </c>
      <c r="D105" s="22" t="s">
        <v>546</v>
      </c>
      <c r="E105" s="19" t="s">
        <v>116</v>
      </c>
      <c r="F105" s="19" t="s">
        <v>89</v>
      </c>
      <c r="G105" s="19" t="s">
        <v>90</v>
      </c>
      <c r="H105" s="24" t="s">
        <v>59</v>
      </c>
      <c r="I105" s="25" t="s">
        <v>547</v>
      </c>
      <c r="J105" s="19" t="s">
        <v>95</v>
      </c>
      <c r="K105" s="19" t="s">
        <v>52</v>
      </c>
      <c r="L105" s="22"/>
      <c r="M105" s="26"/>
      <c r="N105" s="26"/>
      <c r="O105" s="26"/>
      <c r="P105" s="26"/>
      <c r="Q105" s="26"/>
    </row>
    <row r="106" ht="15.75" customHeight="1">
      <c r="A106" s="17" t="s">
        <v>29</v>
      </c>
      <c r="B106" s="9" t="s">
        <v>515</v>
      </c>
      <c r="C106" s="19" t="s">
        <v>84</v>
      </c>
      <c r="D106" s="22" t="s">
        <v>548</v>
      </c>
      <c r="E106" s="19" t="s">
        <v>116</v>
      </c>
      <c r="F106" s="19" t="s">
        <v>103</v>
      </c>
      <c r="G106" s="19" t="s">
        <v>90</v>
      </c>
      <c r="H106" s="24" t="s">
        <v>59</v>
      </c>
      <c r="I106" s="25" t="s">
        <v>549</v>
      </c>
      <c r="J106" s="19" t="s">
        <v>95</v>
      </c>
      <c r="K106" s="19" t="s">
        <v>52</v>
      </c>
      <c r="L106" s="22"/>
      <c r="M106" s="26"/>
      <c r="N106" s="26"/>
      <c r="O106" s="26"/>
      <c r="P106" s="26"/>
      <c r="Q106" s="26"/>
    </row>
    <row r="107" ht="15.75" hidden="1" customHeight="1">
      <c r="A107" s="17" t="s">
        <v>29</v>
      </c>
      <c r="B107" s="9" t="s">
        <v>550</v>
      </c>
      <c r="C107" s="19" t="s">
        <v>409</v>
      </c>
      <c r="D107" s="22" t="s">
        <v>551</v>
      </c>
      <c r="E107" s="19" t="s">
        <v>88</v>
      </c>
      <c r="F107" s="19" t="s">
        <v>552</v>
      </c>
      <c r="G107" s="19" t="s">
        <v>142</v>
      </c>
      <c r="H107" s="24" t="s">
        <v>59</v>
      </c>
      <c r="I107" s="25" t="s">
        <v>417</v>
      </c>
      <c r="J107" s="19" t="s">
        <v>553</v>
      </c>
      <c r="K107" s="19" t="s">
        <v>92</v>
      </c>
      <c r="L107" s="22" t="s">
        <v>128</v>
      </c>
      <c r="M107" s="26"/>
      <c r="N107" s="26"/>
      <c r="O107" s="26"/>
      <c r="P107" s="26"/>
      <c r="Q107" s="26"/>
    </row>
    <row r="108" ht="15.75" hidden="1" customHeight="1">
      <c r="A108" s="17" t="s">
        <v>29</v>
      </c>
      <c r="B108" s="9" t="s">
        <v>550</v>
      </c>
      <c r="C108" s="19" t="s">
        <v>203</v>
      </c>
      <c r="D108" s="22" t="s">
        <v>554</v>
      </c>
      <c r="E108" s="19" t="s">
        <v>88</v>
      </c>
      <c r="F108" s="19" t="s">
        <v>302</v>
      </c>
      <c r="G108" s="19" t="s">
        <v>135</v>
      </c>
      <c r="H108" s="24" t="s">
        <v>59</v>
      </c>
      <c r="I108" s="25" t="s">
        <v>555</v>
      </c>
      <c r="J108" s="19" t="s">
        <v>140</v>
      </c>
      <c r="K108" s="19" t="s">
        <v>13</v>
      </c>
      <c r="L108" s="22" t="s">
        <v>556</v>
      </c>
      <c r="M108" s="26"/>
      <c r="N108" s="26"/>
      <c r="O108" s="26"/>
      <c r="P108" s="26"/>
      <c r="Q108" s="26"/>
    </row>
    <row r="109" ht="15.75" hidden="1" customHeight="1">
      <c r="A109" s="17" t="s">
        <v>29</v>
      </c>
      <c r="B109" s="9" t="s">
        <v>550</v>
      </c>
      <c r="C109" s="19" t="s">
        <v>46</v>
      </c>
      <c r="D109" s="22" t="s">
        <v>557</v>
      </c>
      <c r="E109" s="19" t="s">
        <v>109</v>
      </c>
      <c r="F109" s="19" t="s">
        <v>55</v>
      </c>
      <c r="G109" s="19" t="s">
        <v>57</v>
      </c>
      <c r="H109" s="24" t="s">
        <v>59</v>
      </c>
      <c r="I109" s="25" t="s">
        <v>250</v>
      </c>
      <c r="J109" s="19" t="s">
        <v>558</v>
      </c>
      <c r="K109" s="19" t="s">
        <v>94</v>
      </c>
      <c r="L109" s="22" t="s">
        <v>296</v>
      </c>
      <c r="M109" s="26"/>
      <c r="N109" s="26"/>
      <c r="O109" s="26"/>
      <c r="P109" s="26"/>
      <c r="Q109" s="26"/>
    </row>
    <row r="110" ht="15.75" hidden="1" customHeight="1">
      <c r="A110" s="17" t="s">
        <v>29</v>
      </c>
      <c r="B110" s="9" t="s">
        <v>550</v>
      </c>
      <c r="C110" s="19" t="s">
        <v>46</v>
      </c>
      <c r="D110" s="22" t="s">
        <v>559</v>
      </c>
      <c r="E110" s="19" t="s">
        <v>109</v>
      </c>
      <c r="F110" s="19" t="s">
        <v>560</v>
      </c>
      <c r="G110" s="19" t="s">
        <v>57</v>
      </c>
      <c r="H110" s="24" t="s">
        <v>59</v>
      </c>
      <c r="I110" s="25" t="s">
        <v>170</v>
      </c>
      <c r="J110" s="19" t="s">
        <v>561</v>
      </c>
      <c r="K110" s="19" t="s">
        <v>130</v>
      </c>
      <c r="L110" s="22"/>
      <c r="M110" s="26"/>
      <c r="N110" s="26"/>
      <c r="O110" s="26"/>
      <c r="P110" s="26"/>
      <c r="Q110" s="26"/>
    </row>
    <row r="111" ht="15.75" hidden="1" customHeight="1">
      <c r="A111" s="17" t="s">
        <v>29</v>
      </c>
      <c r="B111" s="9" t="s">
        <v>550</v>
      </c>
      <c r="C111" s="19" t="s">
        <v>46</v>
      </c>
      <c r="D111" s="22" t="s">
        <v>559</v>
      </c>
      <c r="E111" s="19" t="s">
        <v>109</v>
      </c>
      <c r="F111" s="19" t="s">
        <v>186</v>
      </c>
      <c r="G111" s="19" t="s">
        <v>57</v>
      </c>
      <c r="H111" s="24" t="s">
        <v>59</v>
      </c>
      <c r="I111" s="25" t="s">
        <v>190</v>
      </c>
      <c r="J111" s="19"/>
      <c r="K111" s="19" t="s">
        <v>188</v>
      </c>
      <c r="L111" s="22"/>
      <c r="M111" s="26"/>
      <c r="N111" s="26"/>
      <c r="O111" s="26"/>
      <c r="P111" s="26"/>
      <c r="Q111" s="26"/>
    </row>
    <row r="112" ht="15.75" hidden="1" customHeight="1">
      <c r="A112" s="17" t="s">
        <v>29</v>
      </c>
      <c r="B112" s="9" t="s">
        <v>550</v>
      </c>
      <c r="C112" s="19" t="s">
        <v>46</v>
      </c>
      <c r="D112" s="22" t="s">
        <v>562</v>
      </c>
      <c r="E112" s="19" t="s">
        <v>109</v>
      </c>
      <c r="F112" s="19" t="s">
        <v>55</v>
      </c>
      <c r="G112" s="19" t="s">
        <v>57</v>
      </c>
      <c r="H112" s="24" t="s">
        <v>59</v>
      </c>
      <c r="I112" s="25" t="s">
        <v>63</v>
      </c>
      <c r="J112" s="19"/>
      <c r="K112" s="19" t="s">
        <v>143</v>
      </c>
      <c r="L112" s="22" t="s">
        <v>314</v>
      </c>
      <c r="M112" s="26"/>
      <c r="N112" s="26"/>
      <c r="O112" s="26"/>
      <c r="P112" s="26"/>
      <c r="Q112" s="26"/>
    </row>
    <row r="113" ht="15.75" hidden="1" customHeight="1">
      <c r="A113" s="17" t="s">
        <v>29</v>
      </c>
      <c r="B113" s="9" t="s">
        <v>550</v>
      </c>
      <c r="C113" s="19" t="s">
        <v>46</v>
      </c>
      <c r="D113" s="22" t="s">
        <v>563</v>
      </c>
      <c r="E113" s="19" t="s">
        <v>109</v>
      </c>
      <c r="F113" s="19" t="s">
        <v>186</v>
      </c>
      <c r="G113" s="19" t="s">
        <v>57</v>
      </c>
      <c r="H113" s="24" t="s">
        <v>59</v>
      </c>
      <c r="I113" s="25" t="s">
        <v>190</v>
      </c>
      <c r="J113" s="19"/>
      <c r="K113" s="19" t="s">
        <v>188</v>
      </c>
      <c r="L113" s="22"/>
      <c r="M113" s="26"/>
      <c r="N113" s="26"/>
      <c r="O113" s="26"/>
      <c r="P113" s="26"/>
      <c r="Q113" s="26"/>
    </row>
    <row r="114" ht="15.75" hidden="1" customHeight="1">
      <c r="A114" s="17" t="s">
        <v>29</v>
      </c>
      <c r="B114" s="9" t="s">
        <v>564</v>
      </c>
      <c r="C114" s="19" t="s">
        <v>409</v>
      </c>
      <c r="D114" s="22" t="s">
        <v>565</v>
      </c>
      <c r="E114" s="19" t="s">
        <v>54</v>
      </c>
      <c r="F114" s="19" t="s">
        <v>566</v>
      </c>
      <c r="G114" s="19" t="s">
        <v>57</v>
      </c>
      <c r="H114" s="24" t="s">
        <v>59</v>
      </c>
      <c r="I114" s="25" t="s">
        <v>567</v>
      </c>
      <c r="J114" s="19"/>
      <c r="K114" s="19" t="s">
        <v>40</v>
      </c>
      <c r="L114" s="22" t="s">
        <v>568</v>
      </c>
      <c r="M114" s="26"/>
      <c r="N114" s="26"/>
      <c r="O114" s="26"/>
      <c r="P114" s="26"/>
      <c r="Q114" s="26"/>
    </row>
    <row r="115" ht="15.75" hidden="1" customHeight="1">
      <c r="A115" s="17" t="s">
        <v>29</v>
      </c>
      <c r="B115" s="9" t="s">
        <v>564</v>
      </c>
      <c r="C115" s="19" t="s">
        <v>183</v>
      </c>
      <c r="D115" s="22" t="s">
        <v>569</v>
      </c>
      <c r="E115" s="19" t="s">
        <v>54</v>
      </c>
      <c r="F115" s="19" t="s">
        <v>302</v>
      </c>
      <c r="G115" s="19" t="s">
        <v>57</v>
      </c>
      <c r="H115" s="24" t="s">
        <v>59</v>
      </c>
      <c r="I115" s="25" t="s">
        <v>570</v>
      </c>
      <c r="J115" s="19" t="s">
        <v>319</v>
      </c>
      <c r="K115" s="19" t="s">
        <v>52</v>
      </c>
      <c r="L115" s="22" t="s">
        <v>571</v>
      </c>
      <c r="M115" s="26"/>
      <c r="N115" s="26"/>
      <c r="O115" s="26"/>
      <c r="P115" s="26"/>
      <c r="Q115" s="26"/>
    </row>
    <row r="116" ht="15.75" hidden="1" customHeight="1">
      <c r="A116" s="17" t="s">
        <v>29</v>
      </c>
      <c r="B116" s="9" t="s">
        <v>564</v>
      </c>
      <c r="C116" s="19" t="s">
        <v>218</v>
      </c>
      <c r="D116" s="22" t="s">
        <v>572</v>
      </c>
      <c r="E116" s="19" t="s">
        <v>54</v>
      </c>
      <c r="F116" s="19" t="s">
        <v>220</v>
      </c>
      <c r="G116" s="19" t="s">
        <v>57</v>
      </c>
      <c r="H116" s="24" t="s">
        <v>59</v>
      </c>
      <c r="I116" s="25" t="s">
        <v>573</v>
      </c>
      <c r="J116" s="19"/>
      <c r="K116" s="19" t="s">
        <v>40</v>
      </c>
      <c r="L116" s="22" t="s">
        <v>574</v>
      </c>
      <c r="M116" s="26"/>
      <c r="N116" s="26"/>
      <c r="O116" s="26"/>
      <c r="P116" s="26"/>
      <c r="Q116" s="26"/>
    </row>
    <row r="117" ht="15.75" hidden="1" customHeight="1">
      <c r="A117" s="17" t="s">
        <v>29</v>
      </c>
      <c r="B117" s="9" t="s">
        <v>564</v>
      </c>
      <c r="C117" s="19" t="s">
        <v>172</v>
      </c>
      <c r="D117" s="22" t="s">
        <v>575</v>
      </c>
      <c r="E117" s="19" t="s">
        <v>54</v>
      </c>
      <c r="F117" s="19" t="s">
        <v>421</v>
      </c>
      <c r="G117" s="19" t="s">
        <v>57</v>
      </c>
      <c r="H117" s="24" t="s">
        <v>59</v>
      </c>
      <c r="I117" s="25" t="s">
        <v>576</v>
      </c>
      <c r="J117" s="19"/>
      <c r="K117" s="19" t="s">
        <v>117</v>
      </c>
      <c r="L117" s="22" t="s">
        <v>577</v>
      </c>
      <c r="M117" s="26"/>
      <c r="N117" s="26"/>
      <c r="O117" s="26"/>
      <c r="P117" s="26"/>
      <c r="Q117" s="26"/>
    </row>
    <row r="118" ht="15.75" hidden="1" customHeight="1">
      <c r="A118" s="17" t="s">
        <v>29</v>
      </c>
      <c r="B118" s="9" t="s">
        <v>564</v>
      </c>
      <c r="C118" s="19" t="s">
        <v>172</v>
      </c>
      <c r="D118" s="22" t="s">
        <v>578</v>
      </c>
      <c r="E118" s="19" t="s">
        <v>54</v>
      </c>
      <c r="F118" s="19" t="s">
        <v>421</v>
      </c>
      <c r="G118" s="19" t="s">
        <v>57</v>
      </c>
      <c r="H118" s="24" t="s">
        <v>59</v>
      </c>
      <c r="I118" s="25" t="s">
        <v>579</v>
      </c>
      <c r="J118" s="19"/>
      <c r="K118" s="19" t="s">
        <v>117</v>
      </c>
      <c r="L118" s="22" t="s">
        <v>580</v>
      </c>
      <c r="M118" s="26"/>
      <c r="N118" s="26"/>
      <c r="O118" s="26"/>
      <c r="P118" s="26"/>
      <c r="Q118" s="26"/>
    </row>
    <row r="119" ht="15.75" hidden="1" customHeight="1">
      <c r="A119" s="17" t="s">
        <v>29</v>
      </c>
      <c r="B119" s="9" t="s">
        <v>564</v>
      </c>
      <c r="C119" s="19" t="s">
        <v>172</v>
      </c>
      <c r="D119" s="22" t="s">
        <v>581</v>
      </c>
      <c r="E119" s="19" t="s">
        <v>54</v>
      </c>
      <c r="F119" s="19" t="s">
        <v>421</v>
      </c>
      <c r="G119" s="19" t="s">
        <v>57</v>
      </c>
      <c r="H119" s="24" t="s">
        <v>59</v>
      </c>
      <c r="I119" s="25" t="s">
        <v>582</v>
      </c>
      <c r="J119" s="19"/>
      <c r="K119" s="19" t="s">
        <v>117</v>
      </c>
      <c r="L119" s="22" t="s">
        <v>583</v>
      </c>
      <c r="M119" s="26"/>
      <c r="N119" s="26"/>
      <c r="O119" s="26"/>
      <c r="P119" s="26"/>
      <c r="Q119" s="26"/>
    </row>
    <row r="120" ht="15.75" hidden="1" customHeight="1">
      <c r="A120" s="17" t="s">
        <v>29</v>
      </c>
      <c r="B120" s="9" t="s">
        <v>564</v>
      </c>
      <c r="C120" s="19" t="s">
        <v>172</v>
      </c>
      <c r="D120" s="22" t="s">
        <v>584</v>
      </c>
      <c r="E120" s="19" t="s">
        <v>54</v>
      </c>
      <c r="F120" s="19" t="s">
        <v>421</v>
      </c>
      <c r="G120" s="19" t="s">
        <v>57</v>
      </c>
      <c r="H120" s="24" t="s">
        <v>59</v>
      </c>
      <c r="I120" s="25" t="s">
        <v>585</v>
      </c>
      <c r="J120" s="19"/>
      <c r="K120" s="19" t="s">
        <v>105</v>
      </c>
      <c r="L120" s="22"/>
      <c r="M120" s="26"/>
      <c r="N120" s="26"/>
      <c r="O120" s="26"/>
      <c r="P120" s="26"/>
      <c r="Q120" s="26"/>
    </row>
    <row r="121" ht="15.75" hidden="1" customHeight="1">
      <c r="A121" s="17" t="s">
        <v>29</v>
      </c>
      <c r="B121" s="9" t="s">
        <v>564</v>
      </c>
      <c r="C121" s="19" t="s">
        <v>84</v>
      </c>
      <c r="D121" s="22" t="s">
        <v>586</v>
      </c>
      <c r="E121" s="19" t="s">
        <v>54</v>
      </c>
      <c r="F121" s="19" t="s">
        <v>89</v>
      </c>
      <c r="G121" s="19" t="s">
        <v>57</v>
      </c>
      <c r="H121" s="24" t="s">
        <v>59</v>
      </c>
      <c r="I121" s="25" t="s">
        <v>587</v>
      </c>
      <c r="J121" s="19"/>
      <c r="K121" s="19" t="s">
        <v>40</v>
      </c>
      <c r="L121" s="22" t="s">
        <v>588</v>
      </c>
      <c r="M121" s="26"/>
      <c r="N121" s="26"/>
      <c r="O121" s="26"/>
      <c r="P121" s="26"/>
      <c r="Q121" s="26"/>
    </row>
    <row r="122" ht="15.75" hidden="1" customHeight="1">
      <c r="A122" s="17" t="s">
        <v>29</v>
      </c>
      <c r="B122" s="9" t="s">
        <v>564</v>
      </c>
      <c r="C122" s="19" t="s">
        <v>84</v>
      </c>
      <c r="D122" s="22" t="s">
        <v>589</v>
      </c>
      <c r="E122" s="19" t="s">
        <v>54</v>
      </c>
      <c r="F122" s="19" t="s">
        <v>89</v>
      </c>
      <c r="G122" s="19" t="s">
        <v>57</v>
      </c>
      <c r="H122" s="24" t="s">
        <v>59</v>
      </c>
      <c r="I122" s="25" t="s">
        <v>590</v>
      </c>
      <c r="J122" s="19"/>
      <c r="K122" s="19" t="s">
        <v>40</v>
      </c>
      <c r="L122" s="22" t="s">
        <v>591</v>
      </c>
      <c r="M122" s="26"/>
      <c r="N122" s="26"/>
      <c r="O122" s="26"/>
      <c r="P122" s="26"/>
      <c r="Q122" s="26"/>
    </row>
    <row r="123" ht="15.75" hidden="1" customHeight="1">
      <c r="A123" s="17" t="s">
        <v>29</v>
      </c>
      <c r="B123" s="9" t="s">
        <v>564</v>
      </c>
      <c r="C123" s="19" t="s">
        <v>84</v>
      </c>
      <c r="D123" s="22" t="s">
        <v>592</v>
      </c>
      <c r="E123" s="19" t="s">
        <v>54</v>
      </c>
      <c r="F123" s="19" t="s">
        <v>89</v>
      </c>
      <c r="G123" s="19" t="s">
        <v>57</v>
      </c>
      <c r="H123" s="24" t="s">
        <v>59</v>
      </c>
      <c r="I123" s="25" t="s">
        <v>593</v>
      </c>
      <c r="J123" s="19"/>
      <c r="K123" s="19" t="s">
        <v>40</v>
      </c>
      <c r="L123" s="22" t="s">
        <v>594</v>
      </c>
      <c r="M123" s="26"/>
      <c r="N123" s="26"/>
      <c r="O123" s="26"/>
      <c r="P123" s="26"/>
      <c r="Q123" s="26"/>
    </row>
    <row r="124" ht="15.75" hidden="1" customHeight="1">
      <c r="A124" s="17" t="s">
        <v>29</v>
      </c>
      <c r="B124" s="9" t="s">
        <v>564</v>
      </c>
      <c r="C124" s="19" t="s">
        <v>84</v>
      </c>
      <c r="D124" s="22" t="s">
        <v>595</v>
      </c>
      <c r="E124" s="19" t="s">
        <v>54</v>
      </c>
      <c r="F124" s="19" t="s">
        <v>89</v>
      </c>
      <c r="G124" s="19" t="s">
        <v>57</v>
      </c>
      <c r="H124" s="24" t="s">
        <v>59</v>
      </c>
      <c r="I124" s="25" t="s">
        <v>596</v>
      </c>
      <c r="J124" s="19" t="s">
        <v>319</v>
      </c>
      <c r="K124" s="19" t="s">
        <v>52</v>
      </c>
      <c r="L124" s="22"/>
      <c r="M124" s="26"/>
      <c r="N124" s="26"/>
      <c r="O124" s="26"/>
      <c r="P124" s="26"/>
      <c r="Q124" s="26"/>
    </row>
    <row r="125" ht="15.75" hidden="1" customHeight="1">
      <c r="A125" s="17" t="s">
        <v>29</v>
      </c>
      <c r="B125" s="9" t="s">
        <v>564</v>
      </c>
      <c r="C125" s="19" t="s">
        <v>84</v>
      </c>
      <c r="D125" s="22" t="s">
        <v>597</v>
      </c>
      <c r="E125" s="19" t="s">
        <v>54</v>
      </c>
      <c r="F125" s="19" t="s">
        <v>89</v>
      </c>
      <c r="G125" s="19" t="s">
        <v>57</v>
      </c>
      <c r="H125" s="24" t="s">
        <v>59</v>
      </c>
      <c r="I125" s="25" t="s">
        <v>598</v>
      </c>
      <c r="J125" s="19"/>
      <c r="K125" s="19" t="s">
        <v>40</v>
      </c>
      <c r="L125" s="22" t="s">
        <v>591</v>
      </c>
      <c r="M125" s="26"/>
      <c r="N125" s="26"/>
      <c r="O125" s="26"/>
      <c r="P125" s="26"/>
      <c r="Q125" s="26"/>
    </row>
    <row r="126" ht="15.75" hidden="1" customHeight="1">
      <c r="A126" s="17" t="s">
        <v>29</v>
      </c>
      <c r="B126" s="9" t="s">
        <v>564</v>
      </c>
      <c r="C126" s="19" t="s">
        <v>84</v>
      </c>
      <c r="D126" s="22" t="s">
        <v>599</v>
      </c>
      <c r="E126" s="19" t="s">
        <v>54</v>
      </c>
      <c r="F126" s="19" t="s">
        <v>89</v>
      </c>
      <c r="G126" s="19" t="s">
        <v>57</v>
      </c>
      <c r="H126" s="24" t="s">
        <v>59</v>
      </c>
      <c r="I126" s="25" t="s">
        <v>600</v>
      </c>
      <c r="J126" s="19"/>
      <c r="K126" s="19" t="s">
        <v>40</v>
      </c>
      <c r="L126" s="22" t="s">
        <v>594</v>
      </c>
      <c r="M126" s="26"/>
      <c r="N126" s="26"/>
      <c r="O126" s="26"/>
      <c r="P126" s="26"/>
      <c r="Q126" s="26"/>
    </row>
    <row r="127" ht="15.75" hidden="1" customHeight="1">
      <c r="A127" s="17" t="s">
        <v>29</v>
      </c>
      <c r="B127" s="9" t="s">
        <v>564</v>
      </c>
      <c r="C127" s="19" t="s">
        <v>84</v>
      </c>
      <c r="D127" s="22" t="s">
        <v>601</v>
      </c>
      <c r="E127" s="19" t="s">
        <v>54</v>
      </c>
      <c r="F127" s="19" t="s">
        <v>89</v>
      </c>
      <c r="G127" s="19" t="s">
        <v>57</v>
      </c>
      <c r="H127" s="24" t="s">
        <v>59</v>
      </c>
      <c r="I127" s="25" t="s">
        <v>602</v>
      </c>
      <c r="J127" s="19"/>
      <c r="K127" s="19" t="s">
        <v>40</v>
      </c>
      <c r="L127" s="22" t="s">
        <v>594</v>
      </c>
      <c r="M127" s="26"/>
      <c r="N127" s="26"/>
      <c r="O127" s="26"/>
      <c r="P127" s="26"/>
      <c r="Q127" s="26"/>
    </row>
    <row r="128" ht="15.75" hidden="1" customHeight="1">
      <c r="A128" s="17" t="s">
        <v>29</v>
      </c>
      <c r="B128" s="9" t="s">
        <v>564</v>
      </c>
      <c r="C128" s="19" t="s">
        <v>84</v>
      </c>
      <c r="D128" s="22" t="s">
        <v>603</v>
      </c>
      <c r="E128" s="19" t="s">
        <v>54</v>
      </c>
      <c r="F128" s="19" t="s">
        <v>89</v>
      </c>
      <c r="G128" s="19" t="s">
        <v>57</v>
      </c>
      <c r="H128" s="24" t="s">
        <v>59</v>
      </c>
      <c r="I128" s="25" t="s">
        <v>604</v>
      </c>
      <c r="J128" s="19" t="s">
        <v>319</v>
      </c>
      <c r="K128" s="19" t="s">
        <v>52</v>
      </c>
      <c r="L128" s="22"/>
      <c r="M128" s="26"/>
      <c r="N128" s="26"/>
      <c r="O128" s="26"/>
      <c r="P128" s="26"/>
      <c r="Q128" s="26"/>
    </row>
    <row r="129" ht="15.75" hidden="1" customHeight="1">
      <c r="A129" s="17" t="s">
        <v>29</v>
      </c>
      <c r="B129" s="9" t="s">
        <v>564</v>
      </c>
      <c r="C129" s="19" t="s">
        <v>84</v>
      </c>
      <c r="D129" s="22" t="s">
        <v>605</v>
      </c>
      <c r="E129" s="19" t="s">
        <v>54</v>
      </c>
      <c r="F129" s="19" t="s">
        <v>89</v>
      </c>
      <c r="G129" s="19" t="s">
        <v>57</v>
      </c>
      <c r="H129" s="24" t="s">
        <v>59</v>
      </c>
      <c r="I129" s="25" t="s">
        <v>606</v>
      </c>
      <c r="J129" s="19"/>
      <c r="K129" s="19" t="s">
        <v>40</v>
      </c>
      <c r="L129" s="22" t="s">
        <v>594</v>
      </c>
      <c r="M129" s="26"/>
      <c r="N129" s="26"/>
      <c r="O129" s="26"/>
      <c r="P129" s="26"/>
      <c r="Q129" s="26"/>
    </row>
    <row r="130" ht="15.75" hidden="1" customHeight="1">
      <c r="A130" s="17" t="s">
        <v>29</v>
      </c>
      <c r="B130" s="9" t="s">
        <v>564</v>
      </c>
      <c r="C130" s="19" t="s">
        <v>84</v>
      </c>
      <c r="D130" s="22" t="s">
        <v>607</v>
      </c>
      <c r="E130" s="19" t="s">
        <v>54</v>
      </c>
      <c r="F130" s="19" t="s">
        <v>89</v>
      </c>
      <c r="G130" s="19" t="s">
        <v>57</v>
      </c>
      <c r="H130" s="24" t="s">
        <v>59</v>
      </c>
      <c r="I130" s="25" t="s">
        <v>608</v>
      </c>
      <c r="J130" s="19" t="s">
        <v>95</v>
      </c>
      <c r="K130" s="19" t="s">
        <v>52</v>
      </c>
      <c r="L130" s="22"/>
      <c r="M130" s="26"/>
      <c r="N130" s="26"/>
      <c r="O130" s="26"/>
      <c r="P130" s="26"/>
      <c r="Q130" s="26"/>
    </row>
    <row r="131" ht="15.75" hidden="1" customHeight="1">
      <c r="A131" s="17" t="s">
        <v>29</v>
      </c>
      <c r="B131" s="9" t="s">
        <v>564</v>
      </c>
      <c r="C131" s="19" t="s">
        <v>84</v>
      </c>
      <c r="D131" s="22" t="s">
        <v>609</v>
      </c>
      <c r="E131" s="19" t="s">
        <v>54</v>
      </c>
      <c r="F131" s="19" t="s">
        <v>89</v>
      </c>
      <c r="G131" s="19" t="s">
        <v>57</v>
      </c>
      <c r="H131" s="24" t="s">
        <v>59</v>
      </c>
      <c r="I131" s="25" t="s">
        <v>610</v>
      </c>
      <c r="J131" s="19" t="s">
        <v>95</v>
      </c>
      <c r="K131" s="19" t="s">
        <v>52</v>
      </c>
      <c r="L131" s="22"/>
      <c r="M131" s="26"/>
      <c r="N131" s="26"/>
      <c r="O131" s="26"/>
      <c r="P131" s="26"/>
      <c r="Q131" s="26"/>
    </row>
    <row r="132" ht="15.75" hidden="1" customHeight="1">
      <c r="A132" s="17" t="s">
        <v>29</v>
      </c>
      <c r="B132" s="9" t="s">
        <v>564</v>
      </c>
      <c r="C132" s="19" t="s">
        <v>84</v>
      </c>
      <c r="D132" s="22" t="s">
        <v>611</v>
      </c>
      <c r="E132" s="19" t="s">
        <v>54</v>
      </c>
      <c r="F132" s="19" t="s">
        <v>89</v>
      </c>
      <c r="G132" s="19" t="s">
        <v>57</v>
      </c>
      <c r="H132" s="24" t="s">
        <v>59</v>
      </c>
      <c r="I132" s="25" t="s">
        <v>612</v>
      </c>
      <c r="J132" s="19"/>
      <c r="K132" s="19" t="s">
        <v>137</v>
      </c>
      <c r="L132" s="22" t="s">
        <v>613</v>
      </c>
      <c r="M132" s="26"/>
      <c r="N132" s="26"/>
      <c r="O132" s="26"/>
      <c r="P132" s="26"/>
      <c r="Q132" s="26"/>
    </row>
    <row r="133" ht="15.75" hidden="1" customHeight="1">
      <c r="A133" s="17" t="s">
        <v>29</v>
      </c>
      <c r="B133" s="9" t="s">
        <v>614</v>
      </c>
      <c r="C133" s="19" t="s">
        <v>615</v>
      </c>
      <c r="D133" s="22" t="s">
        <v>616</v>
      </c>
      <c r="E133" s="19" t="s">
        <v>88</v>
      </c>
      <c r="F133" s="19" t="s">
        <v>617</v>
      </c>
      <c r="G133" s="19" t="s">
        <v>57</v>
      </c>
      <c r="H133" s="22" t="s">
        <v>365</v>
      </c>
      <c r="I133" s="25" t="s">
        <v>618</v>
      </c>
      <c r="J133" s="19" t="s">
        <v>619</v>
      </c>
      <c r="K133" s="19" t="s">
        <v>66</v>
      </c>
      <c r="L133" s="22" t="s">
        <v>620</v>
      </c>
      <c r="M133" s="26"/>
      <c r="N133" s="26"/>
      <c r="O133" s="26"/>
      <c r="P133" s="26"/>
      <c r="Q133" s="26"/>
    </row>
    <row r="134" ht="15.75" hidden="1" customHeight="1">
      <c r="A134" s="17" t="s">
        <v>29</v>
      </c>
      <c r="B134" s="9" t="s">
        <v>614</v>
      </c>
      <c r="C134" s="19" t="s">
        <v>403</v>
      </c>
      <c r="D134" s="22" t="s">
        <v>621</v>
      </c>
      <c r="E134" s="19" t="s">
        <v>88</v>
      </c>
      <c r="F134" s="19" t="s">
        <v>521</v>
      </c>
      <c r="G134" s="19" t="s">
        <v>57</v>
      </c>
      <c r="H134" s="22" t="s">
        <v>365</v>
      </c>
      <c r="I134" s="25" t="s">
        <v>622</v>
      </c>
      <c r="J134" s="19"/>
      <c r="K134" s="19" t="s">
        <v>117</v>
      </c>
      <c r="L134" s="22" t="s">
        <v>623</v>
      </c>
      <c r="M134" s="26"/>
      <c r="N134" s="26"/>
      <c r="O134" s="26"/>
      <c r="P134" s="26"/>
      <c r="Q134" s="26"/>
    </row>
    <row r="135" ht="15.75" hidden="1" customHeight="1">
      <c r="A135" s="17" t="s">
        <v>29</v>
      </c>
      <c r="B135" s="9" t="s">
        <v>614</v>
      </c>
      <c r="C135" s="19" t="s">
        <v>624</v>
      </c>
      <c r="D135" s="22" t="s">
        <v>625</v>
      </c>
      <c r="E135" s="19" t="s">
        <v>88</v>
      </c>
      <c r="F135" s="19" t="s">
        <v>421</v>
      </c>
      <c r="G135" s="19" t="s">
        <v>57</v>
      </c>
      <c r="H135" s="22" t="s">
        <v>365</v>
      </c>
      <c r="I135" s="25" t="s">
        <v>626</v>
      </c>
      <c r="J135" s="19" t="s">
        <v>627</v>
      </c>
      <c r="K135" s="19" t="s">
        <v>66</v>
      </c>
      <c r="L135" s="22" t="s">
        <v>628</v>
      </c>
      <c r="M135" s="26"/>
      <c r="N135" s="26"/>
      <c r="O135" s="26"/>
      <c r="P135" s="26"/>
      <c r="Q135" s="26"/>
    </row>
    <row r="136" ht="15.75" hidden="1" customHeight="1">
      <c r="A136" s="17" t="s">
        <v>29</v>
      </c>
      <c r="B136" s="9" t="s">
        <v>614</v>
      </c>
      <c r="C136" s="19" t="s">
        <v>629</v>
      </c>
      <c r="D136" s="22" t="s">
        <v>630</v>
      </c>
      <c r="E136" s="19" t="s">
        <v>54</v>
      </c>
      <c r="F136" s="19" t="s">
        <v>631</v>
      </c>
      <c r="G136" s="19" t="s">
        <v>135</v>
      </c>
      <c r="H136" s="24" t="s">
        <v>59</v>
      </c>
      <c r="I136" s="25" t="s">
        <v>632</v>
      </c>
      <c r="J136" s="19"/>
      <c r="K136" s="19" t="s">
        <v>40</v>
      </c>
      <c r="L136" s="22"/>
      <c r="M136" s="26"/>
      <c r="N136" s="26"/>
      <c r="O136" s="26"/>
      <c r="P136" s="26"/>
      <c r="Q136" s="26"/>
    </row>
    <row r="137" ht="15.75" hidden="1" customHeight="1">
      <c r="A137" s="17" t="s">
        <v>29</v>
      </c>
      <c r="B137" s="9" t="s">
        <v>614</v>
      </c>
      <c r="C137" s="19" t="s">
        <v>362</v>
      </c>
      <c r="D137" s="22" t="s">
        <v>633</v>
      </c>
      <c r="E137" s="19" t="s">
        <v>88</v>
      </c>
      <c r="F137" s="19" t="s">
        <v>364</v>
      </c>
      <c r="G137" s="19" t="s">
        <v>57</v>
      </c>
      <c r="H137" s="22" t="s">
        <v>365</v>
      </c>
      <c r="I137" s="25" t="s">
        <v>634</v>
      </c>
      <c r="J137" s="19" t="s">
        <v>635</v>
      </c>
      <c r="K137" s="19" t="s">
        <v>52</v>
      </c>
      <c r="L137" s="22" t="s">
        <v>636</v>
      </c>
      <c r="M137" s="26"/>
      <c r="N137" s="26"/>
      <c r="O137" s="26"/>
      <c r="P137" s="26"/>
      <c r="Q137" s="26"/>
    </row>
    <row r="138" ht="15.75" hidden="1" customHeight="1">
      <c r="A138" s="17" t="s">
        <v>29</v>
      </c>
      <c r="B138" s="9" t="s">
        <v>614</v>
      </c>
      <c r="C138" s="19" t="s">
        <v>637</v>
      </c>
      <c r="D138" s="22" t="s">
        <v>638</v>
      </c>
      <c r="E138" s="19" t="s">
        <v>88</v>
      </c>
      <c r="F138" s="19" t="s">
        <v>186</v>
      </c>
      <c r="G138" s="19" t="s">
        <v>57</v>
      </c>
      <c r="H138" s="22" t="s">
        <v>365</v>
      </c>
      <c r="I138" s="25" t="s">
        <v>639</v>
      </c>
      <c r="J138" s="19"/>
      <c r="K138" s="19" t="s">
        <v>221</v>
      </c>
      <c r="L138" s="22" t="s">
        <v>640</v>
      </c>
      <c r="M138" s="26"/>
      <c r="N138" s="26"/>
      <c r="O138" s="26"/>
      <c r="P138" s="26"/>
      <c r="Q138" s="26"/>
    </row>
    <row r="139" ht="15.75" hidden="1" customHeight="1">
      <c r="A139" s="17" t="s">
        <v>29</v>
      </c>
      <c r="B139" s="9" t="s">
        <v>641</v>
      </c>
      <c r="C139" s="19" t="s">
        <v>642</v>
      </c>
      <c r="D139" s="22" t="s">
        <v>643</v>
      </c>
      <c r="E139" s="19" t="s">
        <v>88</v>
      </c>
      <c r="F139" s="19" t="s">
        <v>494</v>
      </c>
      <c r="G139" s="19" t="s">
        <v>57</v>
      </c>
      <c r="H139" s="22" t="s">
        <v>155</v>
      </c>
      <c r="I139" s="25" t="s">
        <v>644</v>
      </c>
      <c r="J139" s="19"/>
      <c r="K139" s="19" t="s">
        <v>211</v>
      </c>
      <c r="L139" s="22" t="s">
        <v>645</v>
      </c>
      <c r="M139" s="26"/>
      <c r="N139" s="26"/>
      <c r="O139" s="26"/>
      <c r="P139" s="26"/>
      <c r="Q139" s="26"/>
    </row>
    <row r="140" ht="15.75" hidden="1" customHeight="1">
      <c r="A140" s="17" t="s">
        <v>29</v>
      </c>
      <c r="B140" s="9" t="s">
        <v>641</v>
      </c>
      <c r="C140" s="19" t="s">
        <v>646</v>
      </c>
      <c r="D140" s="22" t="s">
        <v>647</v>
      </c>
      <c r="E140" s="19" t="s">
        <v>88</v>
      </c>
      <c r="F140" s="19" t="s">
        <v>648</v>
      </c>
      <c r="G140" s="19" t="s">
        <v>57</v>
      </c>
      <c r="H140" s="22" t="s">
        <v>155</v>
      </c>
      <c r="I140" s="25" t="s">
        <v>649</v>
      </c>
      <c r="J140" s="19" t="s">
        <v>650</v>
      </c>
      <c r="K140" s="19" t="s">
        <v>110</v>
      </c>
      <c r="L140" s="22" t="s">
        <v>128</v>
      </c>
      <c r="M140" s="26"/>
      <c r="N140" s="26"/>
      <c r="O140" s="26"/>
      <c r="P140" s="26"/>
      <c r="Q140" s="26"/>
    </row>
    <row r="141" ht="15.75" hidden="1" customHeight="1">
      <c r="A141" s="17" t="s">
        <v>29</v>
      </c>
      <c r="B141" s="9" t="s">
        <v>641</v>
      </c>
      <c r="C141" s="19" t="s">
        <v>651</v>
      </c>
      <c r="D141" s="22" t="s">
        <v>652</v>
      </c>
      <c r="E141" s="19" t="s">
        <v>88</v>
      </c>
      <c r="F141" s="19" t="s">
        <v>494</v>
      </c>
      <c r="G141" s="19" t="s">
        <v>57</v>
      </c>
      <c r="H141" s="22" t="s">
        <v>155</v>
      </c>
      <c r="I141" s="25" t="s">
        <v>653</v>
      </c>
      <c r="J141" s="19" t="s">
        <v>298</v>
      </c>
      <c r="K141" s="19" t="s">
        <v>130</v>
      </c>
      <c r="L141" s="22" t="s">
        <v>654</v>
      </c>
      <c r="M141" s="26"/>
      <c r="N141" s="26"/>
      <c r="O141" s="26"/>
      <c r="P141" s="26"/>
      <c r="Q141" s="26"/>
    </row>
    <row r="142" ht="15.75" customHeight="1">
      <c r="A142" s="17" t="s">
        <v>29</v>
      </c>
      <c r="B142" s="9" t="s">
        <v>655</v>
      </c>
      <c r="C142" s="19" t="s">
        <v>376</v>
      </c>
      <c r="D142" s="22" t="s">
        <v>656</v>
      </c>
      <c r="E142" s="19" t="s">
        <v>109</v>
      </c>
      <c r="F142" s="19" t="s">
        <v>657</v>
      </c>
      <c r="G142" s="19" t="s">
        <v>90</v>
      </c>
      <c r="H142" s="24" t="s">
        <v>59</v>
      </c>
      <c r="I142" s="25" t="s">
        <v>658</v>
      </c>
      <c r="J142" s="19" t="s">
        <v>619</v>
      </c>
      <c r="K142" s="19" t="s">
        <v>92</v>
      </c>
      <c r="L142" s="22"/>
      <c r="M142" s="26"/>
      <c r="N142" s="26"/>
      <c r="O142" s="26"/>
      <c r="P142" s="26"/>
      <c r="Q142" s="26"/>
    </row>
    <row r="143" ht="15.75" customHeight="1">
      <c r="A143" s="17" t="s">
        <v>29</v>
      </c>
      <c r="B143" s="9" t="s">
        <v>655</v>
      </c>
      <c r="C143" s="19" t="s">
        <v>384</v>
      </c>
      <c r="D143" s="22" t="s">
        <v>656</v>
      </c>
      <c r="E143" s="19" t="s">
        <v>109</v>
      </c>
      <c r="F143" s="19" t="s">
        <v>659</v>
      </c>
      <c r="G143" s="19" t="s">
        <v>90</v>
      </c>
      <c r="H143" s="24" t="s">
        <v>59</v>
      </c>
      <c r="I143" s="25" t="s">
        <v>660</v>
      </c>
      <c r="J143" s="19" t="s">
        <v>337</v>
      </c>
      <c r="K143" s="19" t="s">
        <v>92</v>
      </c>
      <c r="L143" s="22"/>
      <c r="M143" s="26"/>
      <c r="N143" s="26"/>
      <c r="O143" s="26"/>
      <c r="P143" s="26"/>
      <c r="Q143" s="26"/>
    </row>
    <row r="144" ht="15.75" customHeight="1">
      <c r="A144" s="17" t="s">
        <v>29</v>
      </c>
      <c r="B144" s="9" t="s">
        <v>655</v>
      </c>
      <c r="C144" s="19" t="s">
        <v>384</v>
      </c>
      <c r="D144" s="22" t="s">
        <v>661</v>
      </c>
      <c r="E144" s="19" t="s">
        <v>109</v>
      </c>
      <c r="F144" s="19" t="s">
        <v>659</v>
      </c>
      <c r="G144" s="19" t="s">
        <v>90</v>
      </c>
      <c r="H144" s="24" t="s">
        <v>59</v>
      </c>
      <c r="I144" s="25" t="s">
        <v>662</v>
      </c>
      <c r="J144" s="19" t="s">
        <v>663</v>
      </c>
      <c r="K144" s="19" t="s">
        <v>114</v>
      </c>
      <c r="L144" s="22"/>
      <c r="M144" s="26"/>
      <c r="N144" s="26"/>
      <c r="O144" s="26"/>
      <c r="P144" s="26"/>
      <c r="Q144" s="26"/>
    </row>
    <row r="145" ht="15.75" customHeight="1">
      <c r="A145" s="17" t="s">
        <v>29</v>
      </c>
      <c r="B145" s="9" t="s">
        <v>655</v>
      </c>
      <c r="C145" s="19" t="s">
        <v>182</v>
      </c>
      <c r="D145" s="22" t="s">
        <v>664</v>
      </c>
      <c r="E145" s="19" t="s">
        <v>109</v>
      </c>
      <c r="F145" s="19" t="s">
        <v>335</v>
      </c>
      <c r="G145" s="19" t="s">
        <v>90</v>
      </c>
      <c r="H145" s="24" t="s">
        <v>59</v>
      </c>
      <c r="I145" s="25" t="s">
        <v>665</v>
      </c>
      <c r="J145" s="19" t="s">
        <v>337</v>
      </c>
      <c r="K145" s="19" t="s">
        <v>92</v>
      </c>
      <c r="L145" s="22"/>
      <c r="M145" s="26"/>
      <c r="N145" s="26"/>
      <c r="O145" s="26"/>
      <c r="P145" s="26"/>
      <c r="Q145" s="26"/>
    </row>
    <row r="146" ht="15.75" customHeight="1">
      <c r="A146" s="17" t="s">
        <v>29</v>
      </c>
      <c r="B146" s="9" t="s">
        <v>655</v>
      </c>
      <c r="C146" s="19" t="s">
        <v>182</v>
      </c>
      <c r="D146" s="22" t="s">
        <v>666</v>
      </c>
      <c r="E146" s="19" t="s">
        <v>109</v>
      </c>
      <c r="F146" s="19" t="s">
        <v>335</v>
      </c>
      <c r="G146" s="19" t="s">
        <v>90</v>
      </c>
      <c r="H146" s="24" t="s">
        <v>59</v>
      </c>
      <c r="I146" s="25" t="s">
        <v>667</v>
      </c>
      <c r="J146" s="19" t="s">
        <v>337</v>
      </c>
      <c r="K146" s="19" t="s">
        <v>92</v>
      </c>
      <c r="L146" s="22"/>
      <c r="M146" s="26"/>
      <c r="N146" s="26"/>
      <c r="O146" s="26"/>
      <c r="P146" s="26"/>
      <c r="Q146" s="26"/>
    </row>
    <row r="147" ht="15.75" customHeight="1">
      <c r="A147" s="17" t="s">
        <v>29</v>
      </c>
      <c r="B147" s="9" t="s">
        <v>655</v>
      </c>
      <c r="C147" s="19" t="s">
        <v>182</v>
      </c>
      <c r="D147" s="22" t="s">
        <v>656</v>
      </c>
      <c r="E147" s="19" t="s">
        <v>109</v>
      </c>
      <c r="F147" s="19" t="s">
        <v>335</v>
      </c>
      <c r="G147" s="19" t="s">
        <v>90</v>
      </c>
      <c r="H147" s="24" t="s">
        <v>59</v>
      </c>
      <c r="I147" s="25" t="s">
        <v>668</v>
      </c>
      <c r="J147" s="19" t="s">
        <v>337</v>
      </c>
      <c r="K147" s="19" t="s">
        <v>92</v>
      </c>
      <c r="L147" s="22"/>
      <c r="M147" s="26"/>
      <c r="N147" s="26"/>
      <c r="O147" s="26"/>
      <c r="P147" s="26"/>
      <c r="Q147" s="26"/>
    </row>
    <row r="148" ht="15.75" customHeight="1">
      <c r="A148" s="17" t="s">
        <v>29</v>
      </c>
      <c r="B148" s="9" t="s">
        <v>655</v>
      </c>
      <c r="C148" s="19" t="s">
        <v>182</v>
      </c>
      <c r="D148" s="22" t="s">
        <v>669</v>
      </c>
      <c r="E148" s="19" t="s">
        <v>109</v>
      </c>
      <c r="F148" s="19" t="s">
        <v>335</v>
      </c>
      <c r="G148" s="19" t="s">
        <v>90</v>
      </c>
      <c r="H148" s="24" t="s">
        <v>59</v>
      </c>
      <c r="I148" s="25" t="s">
        <v>670</v>
      </c>
      <c r="J148" s="19" t="s">
        <v>337</v>
      </c>
      <c r="K148" s="19" t="s">
        <v>92</v>
      </c>
      <c r="L148" s="22"/>
      <c r="M148" s="26"/>
      <c r="N148" s="26"/>
      <c r="O148" s="26"/>
      <c r="P148" s="26"/>
      <c r="Q148" s="26"/>
    </row>
    <row r="149" ht="15.75" customHeight="1">
      <c r="A149" s="17" t="s">
        <v>29</v>
      </c>
      <c r="B149" s="9" t="s">
        <v>655</v>
      </c>
      <c r="C149" s="19" t="s">
        <v>179</v>
      </c>
      <c r="D149" s="22" t="s">
        <v>671</v>
      </c>
      <c r="E149" s="19" t="s">
        <v>109</v>
      </c>
      <c r="F149" s="19" t="s">
        <v>335</v>
      </c>
      <c r="G149" s="19" t="s">
        <v>90</v>
      </c>
      <c r="H149" s="24" t="s">
        <v>59</v>
      </c>
      <c r="I149" s="25" t="s">
        <v>672</v>
      </c>
      <c r="J149" s="19"/>
      <c r="K149" s="19" t="s">
        <v>114</v>
      </c>
      <c r="L149" s="22"/>
      <c r="M149" s="26"/>
      <c r="N149" s="26"/>
      <c r="O149" s="26"/>
      <c r="P149" s="26"/>
      <c r="Q149" s="26"/>
    </row>
    <row r="150" ht="15.75" hidden="1" customHeight="1">
      <c r="A150" s="17" t="s">
        <v>29</v>
      </c>
      <c r="B150" s="9" t="s">
        <v>655</v>
      </c>
      <c r="C150" s="19" t="s">
        <v>84</v>
      </c>
      <c r="D150" s="22" t="s">
        <v>673</v>
      </c>
      <c r="E150" s="19" t="s">
        <v>116</v>
      </c>
      <c r="F150" s="19" t="s">
        <v>89</v>
      </c>
      <c r="G150" s="19" t="s">
        <v>57</v>
      </c>
      <c r="H150" s="24" t="s">
        <v>59</v>
      </c>
      <c r="I150" s="25" t="s">
        <v>674</v>
      </c>
      <c r="J150" s="19" t="s">
        <v>95</v>
      </c>
      <c r="K150" s="19" t="s">
        <v>52</v>
      </c>
      <c r="L150" s="22"/>
      <c r="M150" s="26"/>
      <c r="N150" s="26"/>
      <c r="O150" s="26"/>
      <c r="P150" s="26"/>
      <c r="Q150" s="26"/>
    </row>
    <row r="151" ht="15.75" hidden="1" customHeight="1">
      <c r="A151" s="17" t="s">
        <v>29</v>
      </c>
      <c r="B151" s="9" t="s">
        <v>655</v>
      </c>
      <c r="C151" s="19" t="s">
        <v>84</v>
      </c>
      <c r="D151" s="22" t="s">
        <v>675</v>
      </c>
      <c r="E151" s="19" t="s">
        <v>116</v>
      </c>
      <c r="F151" s="19" t="s">
        <v>103</v>
      </c>
      <c r="G151" s="19" t="s">
        <v>57</v>
      </c>
      <c r="H151" s="24" t="s">
        <v>59</v>
      </c>
      <c r="I151" s="25" t="s">
        <v>676</v>
      </c>
      <c r="J151" s="19" t="s">
        <v>95</v>
      </c>
      <c r="K151" s="19" t="s">
        <v>52</v>
      </c>
      <c r="L151" s="22"/>
      <c r="M151" s="26"/>
      <c r="N151" s="26"/>
      <c r="O151" s="26"/>
      <c r="P151" s="26"/>
      <c r="Q151" s="26"/>
    </row>
    <row r="152" ht="15.75" hidden="1" customHeight="1">
      <c r="A152" s="17" t="s">
        <v>29</v>
      </c>
      <c r="B152" s="9" t="s">
        <v>655</v>
      </c>
      <c r="C152" s="19" t="s">
        <v>84</v>
      </c>
      <c r="D152" s="22" t="s">
        <v>675</v>
      </c>
      <c r="E152" s="19" t="s">
        <v>116</v>
      </c>
      <c r="F152" s="19" t="s">
        <v>89</v>
      </c>
      <c r="G152" s="19" t="s">
        <v>57</v>
      </c>
      <c r="H152" s="24" t="s">
        <v>59</v>
      </c>
      <c r="I152" s="25" t="s">
        <v>677</v>
      </c>
      <c r="J152" s="19" t="s">
        <v>95</v>
      </c>
      <c r="K152" s="19" t="s">
        <v>52</v>
      </c>
      <c r="L152" s="22"/>
      <c r="M152" s="26"/>
      <c r="N152" s="26"/>
      <c r="O152" s="26"/>
      <c r="P152" s="26"/>
      <c r="Q152" s="26"/>
    </row>
    <row r="153" ht="15.75" hidden="1" customHeight="1">
      <c r="A153" s="17" t="s">
        <v>29</v>
      </c>
      <c r="B153" s="9" t="s">
        <v>655</v>
      </c>
      <c r="C153" s="19" t="s">
        <v>84</v>
      </c>
      <c r="D153" s="22" t="s">
        <v>678</v>
      </c>
      <c r="E153" s="19" t="s">
        <v>116</v>
      </c>
      <c r="F153" s="19" t="s">
        <v>89</v>
      </c>
      <c r="G153" s="19" t="s">
        <v>57</v>
      </c>
      <c r="H153" s="24" t="s">
        <v>59</v>
      </c>
      <c r="I153" s="25" t="s">
        <v>679</v>
      </c>
      <c r="J153" s="19" t="s">
        <v>95</v>
      </c>
      <c r="K153" s="19" t="s">
        <v>52</v>
      </c>
      <c r="L153" s="22"/>
      <c r="M153" s="26"/>
      <c r="N153" s="26"/>
      <c r="O153" s="26"/>
      <c r="P153" s="26"/>
      <c r="Q153" s="26"/>
    </row>
    <row r="154" ht="15.75" hidden="1" customHeight="1">
      <c r="A154" s="17" t="s">
        <v>29</v>
      </c>
      <c r="B154" s="9" t="s">
        <v>655</v>
      </c>
      <c r="C154" s="19" t="s">
        <v>84</v>
      </c>
      <c r="D154" s="22" t="s">
        <v>678</v>
      </c>
      <c r="E154" s="19" t="s">
        <v>116</v>
      </c>
      <c r="F154" s="19" t="s">
        <v>103</v>
      </c>
      <c r="G154" s="19" t="s">
        <v>57</v>
      </c>
      <c r="H154" s="24" t="s">
        <v>59</v>
      </c>
      <c r="I154" s="25" t="s">
        <v>680</v>
      </c>
      <c r="J154" s="19" t="s">
        <v>95</v>
      </c>
      <c r="K154" s="19" t="s">
        <v>52</v>
      </c>
      <c r="L154" s="22"/>
      <c r="M154" s="26"/>
      <c r="N154" s="26"/>
      <c r="O154" s="26"/>
      <c r="P154" s="26"/>
      <c r="Q154" s="26"/>
    </row>
    <row r="155" ht="15.75" hidden="1" customHeight="1">
      <c r="A155" s="17" t="s">
        <v>29</v>
      </c>
      <c r="B155" s="9" t="s">
        <v>681</v>
      </c>
      <c r="C155" s="19" t="s">
        <v>192</v>
      </c>
      <c r="D155" s="22" t="s">
        <v>682</v>
      </c>
      <c r="E155" s="19" t="s">
        <v>54</v>
      </c>
      <c r="F155" s="19" t="s">
        <v>135</v>
      </c>
      <c r="G155" s="19" t="s">
        <v>135</v>
      </c>
      <c r="H155" s="24" t="s">
        <v>59</v>
      </c>
      <c r="I155" s="25" t="s">
        <v>683</v>
      </c>
      <c r="J155" s="19"/>
      <c r="K155" s="19" t="s">
        <v>100</v>
      </c>
      <c r="L155" s="22" t="s">
        <v>684</v>
      </c>
      <c r="M155" s="26"/>
      <c r="N155" s="26"/>
      <c r="O155" s="26"/>
      <c r="P155" s="26"/>
      <c r="Q155" s="26"/>
    </row>
    <row r="156" ht="15.75" hidden="1" customHeight="1">
      <c r="A156" s="17" t="s">
        <v>29</v>
      </c>
      <c r="B156" s="9" t="s">
        <v>681</v>
      </c>
      <c r="C156" s="19" t="s">
        <v>685</v>
      </c>
      <c r="D156" s="22" t="s">
        <v>686</v>
      </c>
      <c r="E156" s="19" t="s">
        <v>88</v>
      </c>
      <c r="F156" s="19" t="s">
        <v>335</v>
      </c>
      <c r="G156" s="19" t="s">
        <v>135</v>
      </c>
      <c r="H156" s="22" t="s">
        <v>365</v>
      </c>
      <c r="I156" s="25" t="s">
        <v>687</v>
      </c>
      <c r="J156" s="19"/>
      <c r="K156" s="19" t="s">
        <v>99</v>
      </c>
      <c r="L156" s="22" t="s">
        <v>688</v>
      </c>
      <c r="M156" s="26"/>
      <c r="N156" s="26"/>
      <c r="O156" s="26"/>
      <c r="P156" s="26"/>
      <c r="Q156" s="26"/>
    </row>
    <row r="157" ht="15.75" hidden="1" customHeight="1">
      <c r="A157" s="17" t="s">
        <v>29</v>
      </c>
      <c r="B157" s="9" t="s">
        <v>681</v>
      </c>
      <c r="C157" s="19" t="s">
        <v>689</v>
      </c>
      <c r="D157" s="22" t="s">
        <v>690</v>
      </c>
      <c r="E157" s="19" t="s">
        <v>54</v>
      </c>
      <c r="F157" s="19" t="s">
        <v>631</v>
      </c>
      <c r="G157" s="19" t="s">
        <v>135</v>
      </c>
      <c r="H157" s="24" t="s">
        <v>59</v>
      </c>
      <c r="I157" s="25" t="s">
        <v>691</v>
      </c>
      <c r="J157" s="19"/>
      <c r="K157" s="19" t="s">
        <v>171</v>
      </c>
      <c r="L157" s="22" t="s">
        <v>692</v>
      </c>
      <c r="M157" s="26"/>
      <c r="N157" s="26"/>
      <c r="O157" s="26"/>
      <c r="P157" s="26"/>
      <c r="Q157" s="26"/>
    </row>
    <row r="158" ht="15.75" hidden="1" customHeight="1">
      <c r="A158" s="17" t="s">
        <v>29</v>
      </c>
      <c r="B158" s="9" t="s">
        <v>681</v>
      </c>
      <c r="C158" s="19" t="s">
        <v>203</v>
      </c>
      <c r="D158" s="22" t="s">
        <v>693</v>
      </c>
      <c r="E158" s="19" t="s">
        <v>54</v>
      </c>
      <c r="F158" s="19" t="s">
        <v>508</v>
      </c>
      <c r="G158" s="19" t="s">
        <v>135</v>
      </c>
      <c r="H158" s="24" t="s">
        <v>59</v>
      </c>
      <c r="I158" s="25" t="s">
        <v>694</v>
      </c>
      <c r="J158" s="19"/>
      <c r="K158" s="19" t="s">
        <v>40</v>
      </c>
      <c r="L158" s="22" t="s">
        <v>695</v>
      </c>
      <c r="M158" s="26"/>
      <c r="N158" s="26"/>
      <c r="O158" s="26"/>
      <c r="P158" s="26"/>
      <c r="Q158" s="26"/>
    </row>
    <row r="159" ht="15.75" hidden="1" customHeight="1">
      <c r="A159" s="17" t="s">
        <v>29</v>
      </c>
      <c r="B159" s="9" t="s">
        <v>681</v>
      </c>
      <c r="C159" s="19" t="s">
        <v>183</v>
      </c>
      <c r="D159" s="22" t="s">
        <v>696</v>
      </c>
      <c r="E159" s="19" t="s">
        <v>54</v>
      </c>
      <c r="F159" s="19" t="s">
        <v>302</v>
      </c>
      <c r="G159" s="19" t="s">
        <v>135</v>
      </c>
      <c r="H159" s="24" t="s">
        <v>59</v>
      </c>
      <c r="I159" s="25" t="s">
        <v>697</v>
      </c>
      <c r="J159" s="19" t="s">
        <v>95</v>
      </c>
      <c r="K159" s="19" t="s">
        <v>13</v>
      </c>
      <c r="L159" s="22" t="s">
        <v>698</v>
      </c>
      <c r="M159" s="26"/>
      <c r="N159" s="26"/>
      <c r="O159" s="26"/>
      <c r="P159" s="26"/>
      <c r="Q159" s="26"/>
    </row>
    <row r="160" ht="15.75" hidden="1" customHeight="1">
      <c r="A160" s="17" t="s">
        <v>29</v>
      </c>
      <c r="B160" s="9" t="s">
        <v>681</v>
      </c>
      <c r="C160" s="19" t="s">
        <v>183</v>
      </c>
      <c r="D160" s="22" t="s">
        <v>699</v>
      </c>
      <c r="E160" s="19" t="s">
        <v>54</v>
      </c>
      <c r="F160" s="19" t="s">
        <v>302</v>
      </c>
      <c r="G160" s="19" t="s">
        <v>135</v>
      </c>
      <c r="H160" s="24" t="s">
        <v>59</v>
      </c>
      <c r="I160" s="25" t="s">
        <v>700</v>
      </c>
      <c r="J160" s="19"/>
      <c r="K160" s="19" t="s">
        <v>13</v>
      </c>
      <c r="L160" s="22" t="s">
        <v>701</v>
      </c>
      <c r="M160" s="26"/>
      <c r="N160" s="26"/>
      <c r="O160" s="26"/>
      <c r="P160" s="26"/>
      <c r="Q160" s="26"/>
    </row>
    <row r="161" ht="15.75" customHeight="1">
      <c r="A161" s="17" t="s">
        <v>29</v>
      </c>
      <c r="B161" s="9" t="s">
        <v>681</v>
      </c>
      <c r="C161" s="19" t="s">
        <v>183</v>
      </c>
      <c r="D161" s="22" t="s">
        <v>702</v>
      </c>
      <c r="E161" s="19" t="s">
        <v>124</v>
      </c>
      <c r="F161" s="19" t="s">
        <v>302</v>
      </c>
      <c r="G161" s="19" t="s">
        <v>90</v>
      </c>
      <c r="H161" s="24" t="s">
        <v>59</v>
      </c>
      <c r="I161" s="25" t="s">
        <v>703</v>
      </c>
      <c r="J161" s="19" t="s">
        <v>95</v>
      </c>
      <c r="K161" s="19" t="s">
        <v>52</v>
      </c>
      <c r="L161" s="22" t="s">
        <v>471</v>
      </c>
      <c r="M161" s="26"/>
      <c r="N161" s="26"/>
      <c r="O161" s="26"/>
      <c r="P161" s="26"/>
      <c r="Q161" s="26"/>
    </row>
    <row r="162" ht="15.75" hidden="1" customHeight="1">
      <c r="A162" s="17" t="s">
        <v>29</v>
      </c>
      <c r="B162" s="9" t="s">
        <v>681</v>
      </c>
      <c r="C162" s="19" t="s">
        <v>183</v>
      </c>
      <c r="D162" s="22" t="s">
        <v>704</v>
      </c>
      <c r="E162" s="19" t="s">
        <v>54</v>
      </c>
      <c r="F162" s="19" t="s">
        <v>705</v>
      </c>
      <c r="G162" s="19" t="s">
        <v>135</v>
      </c>
      <c r="H162" s="24" t="s">
        <v>59</v>
      </c>
      <c r="I162" s="25" t="s">
        <v>706</v>
      </c>
      <c r="J162" s="19"/>
      <c r="K162" s="19" t="s">
        <v>40</v>
      </c>
      <c r="L162" s="22" t="s">
        <v>707</v>
      </c>
      <c r="M162" s="26"/>
      <c r="N162" s="26"/>
      <c r="O162" s="26"/>
      <c r="P162" s="26"/>
      <c r="Q162" s="26"/>
    </row>
    <row r="163" ht="15.75" hidden="1" customHeight="1">
      <c r="A163" s="17" t="s">
        <v>29</v>
      </c>
      <c r="B163" s="9" t="s">
        <v>681</v>
      </c>
      <c r="C163" s="19" t="s">
        <v>172</v>
      </c>
      <c r="D163" s="22" t="s">
        <v>708</v>
      </c>
      <c r="E163" s="19" t="s">
        <v>54</v>
      </c>
      <c r="F163" s="19" t="s">
        <v>421</v>
      </c>
      <c r="G163" s="19" t="s">
        <v>135</v>
      </c>
      <c r="H163" s="24" t="s">
        <v>59</v>
      </c>
      <c r="I163" s="25" t="s">
        <v>709</v>
      </c>
      <c r="J163" s="19" t="s">
        <v>140</v>
      </c>
      <c r="K163" s="19" t="s">
        <v>13</v>
      </c>
      <c r="L163" s="22"/>
      <c r="M163" s="26"/>
      <c r="N163" s="26"/>
      <c r="O163" s="26"/>
      <c r="P163" s="26"/>
      <c r="Q163" s="26"/>
    </row>
    <row r="164" ht="15.75" hidden="1" customHeight="1">
      <c r="A164" s="17" t="s">
        <v>29</v>
      </c>
      <c r="B164" s="9" t="s">
        <v>681</v>
      </c>
      <c r="C164" s="19" t="s">
        <v>172</v>
      </c>
      <c r="D164" s="22" t="s">
        <v>710</v>
      </c>
      <c r="E164" s="19" t="s">
        <v>54</v>
      </c>
      <c r="F164" s="19" t="s">
        <v>421</v>
      </c>
      <c r="G164" s="19" t="s">
        <v>135</v>
      </c>
      <c r="H164" s="24" t="s">
        <v>59</v>
      </c>
      <c r="I164" s="25" t="s">
        <v>711</v>
      </c>
      <c r="J164" s="19" t="s">
        <v>140</v>
      </c>
      <c r="K164" s="19" t="s">
        <v>13</v>
      </c>
      <c r="L164" s="22"/>
      <c r="M164" s="26"/>
      <c r="N164" s="26"/>
      <c r="O164" s="26"/>
      <c r="P164" s="26"/>
      <c r="Q164" s="26"/>
    </row>
    <row r="165" ht="15.75" hidden="1" customHeight="1">
      <c r="A165" s="17" t="s">
        <v>29</v>
      </c>
      <c r="B165" s="9" t="s">
        <v>681</v>
      </c>
      <c r="C165" s="19" t="s">
        <v>84</v>
      </c>
      <c r="D165" s="22" t="s">
        <v>712</v>
      </c>
      <c r="E165" s="19" t="s">
        <v>54</v>
      </c>
      <c r="F165" s="19" t="s">
        <v>89</v>
      </c>
      <c r="G165" s="19" t="s">
        <v>135</v>
      </c>
      <c r="H165" s="24" t="s">
        <v>59</v>
      </c>
      <c r="I165" s="25" t="s">
        <v>713</v>
      </c>
      <c r="J165" s="19" t="s">
        <v>140</v>
      </c>
      <c r="K165" s="19" t="s">
        <v>143</v>
      </c>
      <c r="L165" s="22" t="s">
        <v>714</v>
      </c>
      <c r="M165" s="26"/>
      <c r="N165" s="26"/>
      <c r="O165" s="26"/>
      <c r="P165" s="26"/>
      <c r="Q165" s="26"/>
    </row>
    <row r="166" ht="15.75" hidden="1" customHeight="1">
      <c r="A166" s="17" t="s">
        <v>29</v>
      </c>
      <c r="B166" s="9" t="s">
        <v>681</v>
      </c>
      <c r="C166" s="19" t="s">
        <v>84</v>
      </c>
      <c r="D166" s="22" t="s">
        <v>715</v>
      </c>
      <c r="E166" s="19" t="s">
        <v>54</v>
      </c>
      <c r="F166" s="19" t="s">
        <v>89</v>
      </c>
      <c r="G166" s="19" t="s">
        <v>135</v>
      </c>
      <c r="H166" s="24" t="s">
        <v>59</v>
      </c>
      <c r="I166" s="25" t="s">
        <v>716</v>
      </c>
      <c r="J166" s="19" t="s">
        <v>140</v>
      </c>
      <c r="K166" s="19" t="s">
        <v>13</v>
      </c>
      <c r="L166" s="22"/>
      <c r="M166" s="26"/>
      <c r="N166" s="26"/>
      <c r="O166" s="26"/>
      <c r="P166" s="26"/>
      <c r="Q166" s="26"/>
    </row>
    <row r="167" ht="15.75" hidden="1" customHeight="1">
      <c r="A167" s="17" t="s">
        <v>29</v>
      </c>
      <c r="B167" s="9" t="s">
        <v>681</v>
      </c>
      <c r="C167" s="19" t="s">
        <v>84</v>
      </c>
      <c r="D167" s="22" t="s">
        <v>717</v>
      </c>
      <c r="E167" s="19" t="s">
        <v>54</v>
      </c>
      <c r="F167" s="19" t="s">
        <v>89</v>
      </c>
      <c r="G167" s="19" t="s">
        <v>135</v>
      </c>
      <c r="H167" s="24" t="s">
        <v>59</v>
      </c>
      <c r="I167" s="25" t="s">
        <v>718</v>
      </c>
      <c r="J167" s="19"/>
      <c r="K167" s="19" t="s">
        <v>199</v>
      </c>
      <c r="L167" s="22" t="s">
        <v>719</v>
      </c>
      <c r="M167" s="26"/>
      <c r="N167" s="26"/>
      <c r="O167" s="26"/>
      <c r="P167" s="26"/>
      <c r="Q167" s="26"/>
    </row>
    <row r="168" ht="15.75" hidden="1" customHeight="1">
      <c r="A168" s="17" t="s">
        <v>29</v>
      </c>
      <c r="B168" s="9" t="s">
        <v>681</v>
      </c>
      <c r="C168" s="19" t="s">
        <v>84</v>
      </c>
      <c r="D168" s="22" t="s">
        <v>720</v>
      </c>
      <c r="E168" s="19" t="s">
        <v>54</v>
      </c>
      <c r="F168" s="19" t="s">
        <v>89</v>
      </c>
      <c r="G168" s="19" t="s">
        <v>135</v>
      </c>
      <c r="H168" s="24" t="s">
        <v>59</v>
      </c>
      <c r="I168" s="25" t="s">
        <v>721</v>
      </c>
      <c r="J168" s="19" t="s">
        <v>140</v>
      </c>
      <c r="K168" s="19" t="s">
        <v>122</v>
      </c>
      <c r="L168" s="22" t="s">
        <v>714</v>
      </c>
      <c r="M168" s="26"/>
      <c r="N168" s="26"/>
      <c r="O168" s="26"/>
      <c r="P168" s="26"/>
      <c r="Q168" s="26"/>
    </row>
    <row r="169" ht="15.75" hidden="1" customHeight="1">
      <c r="A169" s="17" t="s">
        <v>29</v>
      </c>
      <c r="B169" s="9" t="s">
        <v>681</v>
      </c>
      <c r="C169" s="19" t="s">
        <v>84</v>
      </c>
      <c r="D169" s="22" t="s">
        <v>334</v>
      </c>
      <c r="E169" s="19" t="s">
        <v>54</v>
      </c>
      <c r="F169" s="19" t="s">
        <v>89</v>
      </c>
      <c r="G169" s="19" t="s">
        <v>135</v>
      </c>
      <c r="H169" s="24" t="s">
        <v>59</v>
      </c>
      <c r="I169" s="25" t="s">
        <v>722</v>
      </c>
      <c r="J169" s="19" t="s">
        <v>456</v>
      </c>
      <c r="K169" s="19" t="s">
        <v>78</v>
      </c>
      <c r="L169" s="22" t="s">
        <v>723</v>
      </c>
      <c r="M169" s="26"/>
      <c r="N169" s="26"/>
      <c r="O169" s="26"/>
      <c r="P169" s="26"/>
      <c r="Q169" s="26"/>
    </row>
    <row r="170" ht="15.75" hidden="1" customHeight="1">
      <c r="A170" s="17" t="s">
        <v>29</v>
      </c>
      <c r="B170" s="9" t="s">
        <v>681</v>
      </c>
      <c r="C170" s="19" t="s">
        <v>84</v>
      </c>
      <c r="D170" s="22" t="s">
        <v>724</v>
      </c>
      <c r="E170" s="19" t="s">
        <v>54</v>
      </c>
      <c r="F170" s="19" t="s">
        <v>103</v>
      </c>
      <c r="G170" s="19" t="s">
        <v>135</v>
      </c>
      <c r="H170" s="24" t="s">
        <v>59</v>
      </c>
      <c r="I170" s="25" t="s">
        <v>725</v>
      </c>
      <c r="J170" s="19" t="s">
        <v>140</v>
      </c>
      <c r="K170" s="19" t="s">
        <v>213</v>
      </c>
      <c r="L170" s="22" t="s">
        <v>714</v>
      </c>
      <c r="M170" s="26"/>
      <c r="N170" s="26"/>
      <c r="O170" s="26"/>
      <c r="P170" s="26"/>
      <c r="Q170" s="26"/>
    </row>
    <row r="171" ht="15.75" hidden="1" customHeight="1">
      <c r="A171" s="17" t="s">
        <v>29</v>
      </c>
      <c r="B171" s="9" t="s">
        <v>681</v>
      </c>
      <c r="C171" s="19" t="s">
        <v>84</v>
      </c>
      <c r="D171" s="22" t="s">
        <v>726</v>
      </c>
      <c r="E171" s="19" t="s">
        <v>54</v>
      </c>
      <c r="F171" s="19" t="s">
        <v>89</v>
      </c>
      <c r="G171" s="19" t="s">
        <v>135</v>
      </c>
      <c r="H171" s="24" t="s">
        <v>59</v>
      </c>
      <c r="I171" s="25" t="s">
        <v>727</v>
      </c>
      <c r="J171" s="19" t="s">
        <v>319</v>
      </c>
      <c r="K171" s="19" t="s">
        <v>78</v>
      </c>
      <c r="L171" s="22" t="s">
        <v>320</v>
      </c>
      <c r="M171" s="26"/>
      <c r="N171" s="26"/>
      <c r="O171" s="26"/>
      <c r="P171" s="26"/>
      <c r="Q171" s="26"/>
    </row>
    <row r="172" ht="15.75" hidden="1" customHeight="1">
      <c r="A172" s="17" t="s">
        <v>29</v>
      </c>
      <c r="B172" s="9" t="s">
        <v>681</v>
      </c>
      <c r="C172" s="19" t="s">
        <v>84</v>
      </c>
      <c r="D172" s="22" t="s">
        <v>728</v>
      </c>
      <c r="E172" s="19" t="s">
        <v>54</v>
      </c>
      <c r="F172" s="19" t="s">
        <v>89</v>
      </c>
      <c r="G172" s="19" t="s">
        <v>135</v>
      </c>
      <c r="H172" s="24" t="s">
        <v>59</v>
      </c>
      <c r="I172" s="25" t="s">
        <v>729</v>
      </c>
      <c r="J172" s="19" t="s">
        <v>456</v>
      </c>
      <c r="K172" s="19" t="s">
        <v>78</v>
      </c>
      <c r="L172" s="22" t="s">
        <v>723</v>
      </c>
      <c r="M172" s="26"/>
      <c r="N172" s="26"/>
      <c r="O172" s="26"/>
      <c r="P172" s="26"/>
      <c r="Q172" s="26"/>
    </row>
    <row r="173" ht="15.75" hidden="1" customHeight="1">
      <c r="A173" s="17" t="s">
        <v>29</v>
      </c>
      <c r="B173" s="9" t="s">
        <v>681</v>
      </c>
      <c r="C173" s="19" t="s">
        <v>84</v>
      </c>
      <c r="D173" s="22" t="s">
        <v>730</v>
      </c>
      <c r="E173" s="19" t="s">
        <v>54</v>
      </c>
      <c r="F173" s="19" t="s">
        <v>89</v>
      </c>
      <c r="G173" s="19" t="s">
        <v>135</v>
      </c>
      <c r="H173" s="24" t="s">
        <v>59</v>
      </c>
      <c r="I173" s="25" t="s">
        <v>731</v>
      </c>
      <c r="J173" s="19" t="s">
        <v>319</v>
      </c>
      <c r="K173" s="19" t="s">
        <v>78</v>
      </c>
      <c r="L173" s="22" t="s">
        <v>723</v>
      </c>
      <c r="M173" s="26"/>
      <c r="N173" s="26"/>
      <c r="O173" s="26"/>
      <c r="P173" s="26"/>
      <c r="Q173" s="26"/>
    </row>
    <row r="174" ht="15.75" hidden="1" customHeight="1">
      <c r="A174" s="17" t="s">
        <v>29</v>
      </c>
      <c r="B174" s="9" t="s">
        <v>681</v>
      </c>
      <c r="C174" s="19" t="s">
        <v>84</v>
      </c>
      <c r="D174" s="22" t="s">
        <v>732</v>
      </c>
      <c r="E174" s="19" t="s">
        <v>54</v>
      </c>
      <c r="F174" s="19" t="s">
        <v>89</v>
      </c>
      <c r="G174" s="19" t="s">
        <v>135</v>
      </c>
      <c r="H174" s="24" t="s">
        <v>59</v>
      </c>
      <c r="I174" s="25" t="s">
        <v>733</v>
      </c>
      <c r="J174" s="19" t="s">
        <v>319</v>
      </c>
      <c r="K174" s="19" t="s">
        <v>78</v>
      </c>
      <c r="L174" s="22" t="s">
        <v>320</v>
      </c>
      <c r="M174" s="26"/>
      <c r="N174" s="26"/>
      <c r="O174" s="26"/>
      <c r="P174" s="26"/>
      <c r="Q174" s="26"/>
    </row>
    <row r="175" ht="15.75" hidden="1" customHeight="1">
      <c r="A175" s="17" t="s">
        <v>29</v>
      </c>
      <c r="B175" s="9" t="s">
        <v>681</v>
      </c>
      <c r="C175" s="19" t="s">
        <v>84</v>
      </c>
      <c r="D175" s="22" t="s">
        <v>734</v>
      </c>
      <c r="E175" s="19" t="s">
        <v>54</v>
      </c>
      <c r="F175" s="19" t="s">
        <v>103</v>
      </c>
      <c r="G175" s="19" t="s">
        <v>135</v>
      </c>
      <c r="H175" s="24" t="s">
        <v>59</v>
      </c>
      <c r="I175" s="25" t="s">
        <v>735</v>
      </c>
      <c r="J175" s="19" t="s">
        <v>140</v>
      </c>
      <c r="K175" s="19" t="s">
        <v>13</v>
      </c>
      <c r="L175" s="22"/>
      <c r="M175" s="26"/>
      <c r="N175" s="26"/>
      <c r="O175" s="26"/>
      <c r="P175" s="26"/>
      <c r="Q175" s="26"/>
    </row>
    <row r="176" ht="15.75" hidden="1" customHeight="1">
      <c r="A176" s="17" t="s">
        <v>29</v>
      </c>
      <c r="B176" s="9" t="s">
        <v>681</v>
      </c>
      <c r="C176" s="19" t="s">
        <v>84</v>
      </c>
      <c r="D176" s="22" t="s">
        <v>736</v>
      </c>
      <c r="E176" s="19" t="s">
        <v>54</v>
      </c>
      <c r="F176" s="19" t="s">
        <v>103</v>
      </c>
      <c r="G176" s="19" t="s">
        <v>135</v>
      </c>
      <c r="H176" s="24" t="s">
        <v>59</v>
      </c>
      <c r="I176" s="25" t="s">
        <v>737</v>
      </c>
      <c r="J176" s="19"/>
      <c r="K176" s="19" t="s">
        <v>13</v>
      </c>
      <c r="L176" s="22" t="s">
        <v>738</v>
      </c>
      <c r="M176" s="26"/>
      <c r="N176" s="26"/>
      <c r="O176" s="26"/>
      <c r="P176" s="26"/>
      <c r="Q176" s="26"/>
    </row>
    <row r="177" ht="15.75" hidden="1" customHeight="1">
      <c r="A177" s="17" t="s">
        <v>29</v>
      </c>
      <c r="B177" s="9" t="s">
        <v>681</v>
      </c>
      <c r="C177" s="19" t="s">
        <v>84</v>
      </c>
      <c r="D177" s="22" t="s">
        <v>739</v>
      </c>
      <c r="E177" s="19" t="s">
        <v>54</v>
      </c>
      <c r="F177" s="19" t="s">
        <v>103</v>
      </c>
      <c r="G177" s="19" t="s">
        <v>135</v>
      </c>
      <c r="H177" s="24" t="s">
        <v>59</v>
      </c>
      <c r="I177" s="25" t="s">
        <v>740</v>
      </c>
      <c r="J177" s="19"/>
      <c r="K177" s="19" t="s">
        <v>13</v>
      </c>
      <c r="L177" s="22" t="s">
        <v>738</v>
      </c>
      <c r="M177" s="26"/>
      <c r="N177" s="26"/>
      <c r="O177" s="26"/>
      <c r="P177" s="26"/>
      <c r="Q177" s="26"/>
    </row>
    <row r="178" ht="15.75" hidden="1" customHeight="1">
      <c r="A178" s="17" t="s">
        <v>29</v>
      </c>
      <c r="B178" s="9" t="s">
        <v>681</v>
      </c>
      <c r="C178" s="19" t="s">
        <v>84</v>
      </c>
      <c r="D178" s="22" t="s">
        <v>741</v>
      </c>
      <c r="E178" s="19" t="s">
        <v>54</v>
      </c>
      <c r="F178" s="19" t="s">
        <v>89</v>
      </c>
      <c r="G178" s="19" t="s">
        <v>135</v>
      </c>
      <c r="H178" s="24" t="s">
        <v>59</v>
      </c>
      <c r="I178" s="25" t="s">
        <v>742</v>
      </c>
      <c r="J178" s="19" t="s">
        <v>743</v>
      </c>
      <c r="K178" s="19" t="s">
        <v>40</v>
      </c>
      <c r="L178" s="22"/>
      <c r="M178" s="26"/>
      <c r="N178" s="26"/>
      <c r="O178" s="26"/>
      <c r="P178" s="26"/>
      <c r="Q178" s="26"/>
    </row>
    <row r="179" ht="15.75" hidden="1" customHeight="1">
      <c r="A179" s="17" t="s">
        <v>29</v>
      </c>
      <c r="B179" s="9" t="s">
        <v>681</v>
      </c>
      <c r="C179" s="19" t="s">
        <v>84</v>
      </c>
      <c r="D179" s="22" t="s">
        <v>744</v>
      </c>
      <c r="E179" s="19" t="s">
        <v>54</v>
      </c>
      <c r="F179" s="19" t="s">
        <v>89</v>
      </c>
      <c r="G179" s="19" t="s">
        <v>135</v>
      </c>
      <c r="H179" s="24" t="s">
        <v>59</v>
      </c>
      <c r="I179" s="25" t="s">
        <v>745</v>
      </c>
      <c r="J179" s="19" t="s">
        <v>319</v>
      </c>
      <c r="K179" s="19" t="s">
        <v>78</v>
      </c>
      <c r="L179" s="22" t="s">
        <v>723</v>
      </c>
      <c r="M179" s="26"/>
      <c r="N179" s="26"/>
      <c r="O179" s="26"/>
      <c r="P179" s="26"/>
      <c r="Q179" s="26"/>
    </row>
    <row r="180" ht="15.75" hidden="1" customHeight="1">
      <c r="A180" s="17" t="s">
        <v>29</v>
      </c>
      <c r="B180" s="9" t="s">
        <v>681</v>
      </c>
      <c r="C180" s="19" t="s">
        <v>84</v>
      </c>
      <c r="D180" s="22" t="s">
        <v>746</v>
      </c>
      <c r="E180" s="19" t="s">
        <v>54</v>
      </c>
      <c r="F180" s="19" t="s">
        <v>89</v>
      </c>
      <c r="G180" s="19" t="s">
        <v>135</v>
      </c>
      <c r="H180" s="24" t="s">
        <v>59</v>
      </c>
      <c r="I180" s="25" t="s">
        <v>747</v>
      </c>
      <c r="J180" s="19" t="s">
        <v>319</v>
      </c>
      <c r="K180" s="19" t="s">
        <v>78</v>
      </c>
      <c r="L180" s="22" t="s">
        <v>723</v>
      </c>
      <c r="M180" s="26"/>
      <c r="N180" s="26"/>
      <c r="O180" s="26"/>
      <c r="P180" s="26"/>
      <c r="Q180" s="26"/>
    </row>
    <row r="181" ht="15.75" hidden="1" customHeight="1">
      <c r="A181" s="17" t="s">
        <v>29</v>
      </c>
      <c r="B181" s="9" t="s">
        <v>681</v>
      </c>
      <c r="C181" s="19" t="s">
        <v>84</v>
      </c>
      <c r="D181" s="22" t="s">
        <v>748</v>
      </c>
      <c r="E181" s="19" t="s">
        <v>54</v>
      </c>
      <c r="F181" s="19" t="s">
        <v>89</v>
      </c>
      <c r="G181" s="19" t="s">
        <v>135</v>
      </c>
      <c r="H181" s="24" t="s">
        <v>59</v>
      </c>
      <c r="I181" s="25" t="s">
        <v>749</v>
      </c>
      <c r="J181" s="19" t="s">
        <v>140</v>
      </c>
      <c r="K181" s="19" t="s">
        <v>13</v>
      </c>
      <c r="L181" s="22"/>
      <c r="M181" s="26"/>
      <c r="N181" s="26"/>
      <c r="O181" s="26"/>
      <c r="P181" s="26"/>
      <c r="Q181" s="26"/>
    </row>
    <row r="182" ht="15.75" hidden="1" customHeight="1">
      <c r="A182" s="17" t="s">
        <v>29</v>
      </c>
      <c r="B182" s="9" t="s">
        <v>681</v>
      </c>
      <c r="C182" s="19" t="s">
        <v>84</v>
      </c>
      <c r="D182" s="22" t="s">
        <v>750</v>
      </c>
      <c r="E182" s="19" t="s">
        <v>54</v>
      </c>
      <c r="F182" s="19" t="s">
        <v>89</v>
      </c>
      <c r="G182" s="19" t="s">
        <v>135</v>
      </c>
      <c r="H182" s="24" t="s">
        <v>59</v>
      </c>
      <c r="I182" s="25" t="s">
        <v>751</v>
      </c>
      <c r="J182" s="19" t="s">
        <v>140</v>
      </c>
      <c r="K182" s="19" t="s">
        <v>13</v>
      </c>
      <c r="L182" s="22"/>
      <c r="M182" s="26"/>
      <c r="N182" s="26"/>
      <c r="O182" s="26"/>
      <c r="P182" s="26"/>
      <c r="Q182" s="26"/>
    </row>
    <row r="183" ht="15.75" hidden="1" customHeight="1">
      <c r="A183" s="17" t="s">
        <v>29</v>
      </c>
      <c r="B183" s="9" t="s">
        <v>681</v>
      </c>
      <c r="C183" s="19" t="s">
        <v>84</v>
      </c>
      <c r="D183" s="22" t="s">
        <v>752</v>
      </c>
      <c r="E183" s="19" t="s">
        <v>54</v>
      </c>
      <c r="F183" s="19" t="s">
        <v>89</v>
      </c>
      <c r="G183" s="19" t="s">
        <v>135</v>
      </c>
      <c r="H183" s="24" t="s">
        <v>59</v>
      </c>
      <c r="I183" s="25" t="s">
        <v>753</v>
      </c>
      <c r="J183" s="19" t="s">
        <v>319</v>
      </c>
      <c r="K183" s="19" t="s">
        <v>78</v>
      </c>
      <c r="L183" s="22" t="s">
        <v>320</v>
      </c>
      <c r="M183" s="26"/>
      <c r="N183" s="26"/>
      <c r="O183" s="26"/>
      <c r="P183" s="26"/>
      <c r="Q183" s="26"/>
    </row>
    <row r="184" ht="15.75" hidden="1" customHeight="1">
      <c r="A184" s="17" t="s">
        <v>29</v>
      </c>
      <c r="B184" s="9" t="s">
        <v>681</v>
      </c>
      <c r="C184" s="19" t="s">
        <v>84</v>
      </c>
      <c r="D184" s="22" t="s">
        <v>754</v>
      </c>
      <c r="E184" s="19" t="s">
        <v>54</v>
      </c>
      <c r="F184" s="19" t="s">
        <v>89</v>
      </c>
      <c r="G184" s="19" t="s">
        <v>135</v>
      </c>
      <c r="H184" s="24" t="s">
        <v>59</v>
      </c>
      <c r="I184" s="25" t="s">
        <v>755</v>
      </c>
      <c r="J184" s="19" t="s">
        <v>319</v>
      </c>
      <c r="K184" s="19" t="s">
        <v>78</v>
      </c>
      <c r="L184" s="22" t="s">
        <v>320</v>
      </c>
      <c r="M184" s="26"/>
      <c r="N184" s="26"/>
      <c r="O184" s="26"/>
      <c r="P184" s="26"/>
      <c r="Q184" s="26"/>
    </row>
    <row r="185" ht="15.75" customHeight="1">
      <c r="A185" s="17" t="s">
        <v>29</v>
      </c>
      <c r="B185" s="9" t="s">
        <v>681</v>
      </c>
      <c r="C185" s="19" t="s">
        <v>84</v>
      </c>
      <c r="D185" s="22" t="s">
        <v>756</v>
      </c>
      <c r="E185" s="19" t="s">
        <v>124</v>
      </c>
      <c r="F185" s="19" t="s">
        <v>89</v>
      </c>
      <c r="G185" s="19" t="s">
        <v>90</v>
      </c>
      <c r="H185" s="24" t="s">
        <v>59</v>
      </c>
      <c r="I185" s="25" t="s">
        <v>757</v>
      </c>
      <c r="J185" s="19" t="s">
        <v>140</v>
      </c>
      <c r="K185" s="19" t="s">
        <v>114</v>
      </c>
      <c r="L185" s="22"/>
      <c r="M185" s="26"/>
      <c r="N185" s="26"/>
      <c r="O185" s="26"/>
      <c r="P185" s="26"/>
      <c r="Q185" s="26"/>
    </row>
    <row r="186" ht="15.75" customHeight="1">
      <c r="A186" s="17" t="s">
        <v>29</v>
      </c>
      <c r="B186" s="9" t="s">
        <v>681</v>
      </c>
      <c r="C186" s="19" t="s">
        <v>84</v>
      </c>
      <c r="D186" s="22" t="s">
        <v>758</v>
      </c>
      <c r="E186" s="19" t="s">
        <v>124</v>
      </c>
      <c r="F186" s="19" t="s">
        <v>103</v>
      </c>
      <c r="G186" s="19" t="s">
        <v>90</v>
      </c>
      <c r="H186" s="24" t="s">
        <v>59</v>
      </c>
      <c r="I186" s="25" t="s">
        <v>759</v>
      </c>
      <c r="J186" s="19" t="s">
        <v>456</v>
      </c>
      <c r="K186" s="19" t="s">
        <v>52</v>
      </c>
      <c r="L186" s="22" t="s">
        <v>471</v>
      </c>
      <c r="M186" s="26"/>
      <c r="N186" s="26"/>
      <c r="O186" s="26"/>
      <c r="P186" s="26"/>
      <c r="Q186" s="26"/>
    </row>
    <row r="187" ht="15.75" customHeight="1">
      <c r="A187" s="17" t="s">
        <v>29</v>
      </c>
      <c r="B187" s="9" t="s">
        <v>681</v>
      </c>
      <c r="C187" s="19" t="s">
        <v>84</v>
      </c>
      <c r="D187" s="22" t="s">
        <v>760</v>
      </c>
      <c r="E187" s="19" t="s">
        <v>124</v>
      </c>
      <c r="F187" s="19" t="s">
        <v>103</v>
      </c>
      <c r="G187" s="19" t="s">
        <v>90</v>
      </c>
      <c r="H187" s="24" t="s">
        <v>59</v>
      </c>
      <c r="I187" s="25" t="s">
        <v>761</v>
      </c>
      <c r="J187" s="19" t="s">
        <v>140</v>
      </c>
      <c r="K187" s="19" t="s">
        <v>114</v>
      </c>
      <c r="L187" s="22" t="s">
        <v>762</v>
      </c>
      <c r="M187" s="26"/>
      <c r="N187" s="26"/>
      <c r="O187" s="26"/>
      <c r="P187" s="26"/>
      <c r="Q187" s="26"/>
    </row>
    <row r="188" ht="15.75" hidden="1" customHeight="1">
      <c r="A188" s="17" t="s">
        <v>29</v>
      </c>
      <c r="B188" s="9" t="s">
        <v>681</v>
      </c>
      <c r="C188" s="19" t="s">
        <v>84</v>
      </c>
      <c r="D188" s="22" t="s">
        <v>763</v>
      </c>
      <c r="E188" s="19" t="s">
        <v>54</v>
      </c>
      <c r="F188" s="19" t="s">
        <v>103</v>
      </c>
      <c r="G188" s="19" t="s">
        <v>135</v>
      </c>
      <c r="H188" s="24" t="s">
        <v>59</v>
      </c>
      <c r="I188" s="25" t="s">
        <v>764</v>
      </c>
      <c r="J188" s="19" t="s">
        <v>319</v>
      </c>
      <c r="K188" s="19" t="s">
        <v>78</v>
      </c>
      <c r="L188" s="22" t="s">
        <v>723</v>
      </c>
      <c r="M188" s="26"/>
      <c r="N188" s="26"/>
      <c r="O188" s="26"/>
      <c r="P188" s="26"/>
      <c r="Q188" s="26"/>
    </row>
    <row r="189" ht="15.75" hidden="1" customHeight="1">
      <c r="A189" s="17" t="s">
        <v>29</v>
      </c>
      <c r="B189" s="9" t="s">
        <v>681</v>
      </c>
      <c r="C189" s="19" t="s">
        <v>84</v>
      </c>
      <c r="D189" s="22" t="s">
        <v>765</v>
      </c>
      <c r="E189" s="19" t="s">
        <v>54</v>
      </c>
      <c r="F189" s="19" t="s">
        <v>103</v>
      </c>
      <c r="G189" s="19" t="s">
        <v>135</v>
      </c>
      <c r="H189" s="24" t="s">
        <v>59</v>
      </c>
      <c r="I189" s="25" t="s">
        <v>766</v>
      </c>
      <c r="J189" s="19" t="s">
        <v>140</v>
      </c>
      <c r="K189" s="19" t="s">
        <v>13</v>
      </c>
      <c r="L189" s="22"/>
      <c r="M189" s="26"/>
      <c r="N189" s="26"/>
      <c r="O189" s="26"/>
      <c r="P189" s="26"/>
      <c r="Q189" s="26"/>
    </row>
    <row r="190" ht="15.75" hidden="1" customHeight="1">
      <c r="A190" s="17" t="s">
        <v>29</v>
      </c>
      <c r="B190" s="9" t="s">
        <v>681</v>
      </c>
      <c r="C190" s="19" t="s">
        <v>84</v>
      </c>
      <c r="D190" s="22" t="s">
        <v>767</v>
      </c>
      <c r="E190" s="19" t="s">
        <v>54</v>
      </c>
      <c r="F190" s="19" t="s">
        <v>89</v>
      </c>
      <c r="G190" s="19" t="s">
        <v>135</v>
      </c>
      <c r="H190" s="24" t="s">
        <v>59</v>
      </c>
      <c r="I190" s="25" t="s">
        <v>768</v>
      </c>
      <c r="J190" s="19" t="s">
        <v>319</v>
      </c>
      <c r="K190" s="19" t="s">
        <v>78</v>
      </c>
      <c r="L190" s="22" t="s">
        <v>320</v>
      </c>
      <c r="M190" s="26"/>
      <c r="N190" s="26"/>
      <c r="O190" s="26"/>
      <c r="P190" s="26"/>
      <c r="Q190" s="26"/>
    </row>
    <row r="191" ht="15.75" hidden="1" customHeight="1">
      <c r="A191" s="17" t="s">
        <v>29</v>
      </c>
      <c r="B191" s="9" t="s">
        <v>681</v>
      </c>
      <c r="C191" s="19" t="s">
        <v>84</v>
      </c>
      <c r="D191" s="22" t="s">
        <v>769</v>
      </c>
      <c r="E191" s="19" t="s">
        <v>54</v>
      </c>
      <c r="F191" s="19" t="s">
        <v>103</v>
      </c>
      <c r="G191" s="19" t="s">
        <v>142</v>
      </c>
      <c r="H191" s="24" t="s">
        <v>59</v>
      </c>
      <c r="I191" s="25" t="s">
        <v>770</v>
      </c>
      <c r="J191" s="19" t="s">
        <v>373</v>
      </c>
      <c r="K191" s="19" t="s">
        <v>139</v>
      </c>
      <c r="L191" s="22" t="s">
        <v>771</v>
      </c>
      <c r="M191" s="26"/>
      <c r="N191" s="26"/>
      <c r="O191" s="26"/>
      <c r="P191" s="26"/>
      <c r="Q191" s="26"/>
    </row>
    <row r="192" ht="15.75" hidden="1" customHeight="1">
      <c r="A192" s="17" t="s">
        <v>29</v>
      </c>
      <c r="B192" s="9" t="s">
        <v>681</v>
      </c>
      <c r="C192" s="19" t="s">
        <v>84</v>
      </c>
      <c r="D192" s="22" t="s">
        <v>772</v>
      </c>
      <c r="E192" s="19" t="s">
        <v>54</v>
      </c>
      <c r="F192" s="19" t="s">
        <v>103</v>
      </c>
      <c r="G192" s="19" t="s">
        <v>135</v>
      </c>
      <c r="H192" s="24" t="s">
        <v>59</v>
      </c>
      <c r="I192" s="25" t="s">
        <v>773</v>
      </c>
      <c r="J192" s="19" t="s">
        <v>456</v>
      </c>
      <c r="K192" s="19" t="s">
        <v>52</v>
      </c>
      <c r="L192" s="22" t="s">
        <v>774</v>
      </c>
      <c r="M192" s="26"/>
      <c r="N192" s="26"/>
      <c r="O192" s="26"/>
      <c r="P192" s="26"/>
      <c r="Q192" s="26"/>
    </row>
    <row r="193" ht="15.75" hidden="1" customHeight="1">
      <c r="A193" s="17" t="s">
        <v>29</v>
      </c>
      <c r="B193" s="9" t="s">
        <v>775</v>
      </c>
      <c r="C193" s="19" t="s">
        <v>776</v>
      </c>
      <c r="D193" s="22" t="s">
        <v>777</v>
      </c>
      <c r="E193" s="19" t="s">
        <v>88</v>
      </c>
      <c r="F193" s="19" t="s">
        <v>241</v>
      </c>
      <c r="G193" s="19" t="s">
        <v>135</v>
      </c>
      <c r="H193" s="22" t="s">
        <v>365</v>
      </c>
      <c r="I193" s="25" t="s">
        <v>778</v>
      </c>
      <c r="J193" s="19"/>
      <c r="K193" s="19" t="s">
        <v>137</v>
      </c>
      <c r="L193" s="22" t="s">
        <v>779</v>
      </c>
      <c r="M193" s="26"/>
      <c r="N193" s="26"/>
      <c r="O193" s="26"/>
      <c r="P193" s="26"/>
      <c r="Q193" s="26"/>
    </row>
    <row r="194" ht="15.75" hidden="1" customHeight="1">
      <c r="A194" s="17" t="s">
        <v>29</v>
      </c>
      <c r="B194" s="9" t="s">
        <v>775</v>
      </c>
      <c r="C194" s="19" t="s">
        <v>776</v>
      </c>
      <c r="D194" s="22" t="s">
        <v>780</v>
      </c>
      <c r="E194" s="19" t="s">
        <v>88</v>
      </c>
      <c r="F194" s="19" t="s">
        <v>241</v>
      </c>
      <c r="G194" s="19" t="s">
        <v>135</v>
      </c>
      <c r="H194" s="22" t="s">
        <v>365</v>
      </c>
      <c r="I194" s="25" t="s">
        <v>781</v>
      </c>
      <c r="J194" s="19" t="s">
        <v>782</v>
      </c>
      <c r="K194" s="19" t="s">
        <v>82</v>
      </c>
      <c r="L194" s="22" t="s">
        <v>783</v>
      </c>
      <c r="M194" s="26"/>
      <c r="N194" s="26"/>
      <c r="O194" s="26"/>
      <c r="P194" s="26"/>
      <c r="Q194" s="26"/>
    </row>
    <row r="195" ht="15.75" customHeight="1">
      <c r="A195" s="17" t="s">
        <v>29</v>
      </c>
      <c r="B195" s="9" t="s">
        <v>775</v>
      </c>
      <c r="C195" s="19" t="s">
        <v>784</v>
      </c>
      <c r="D195" s="22" t="s">
        <v>785</v>
      </c>
      <c r="E195" s="19" t="s">
        <v>116</v>
      </c>
      <c r="F195" s="19" t="s">
        <v>335</v>
      </c>
      <c r="G195" s="19" t="s">
        <v>90</v>
      </c>
      <c r="H195" s="24" t="s">
        <v>59</v>
      </c>
      <c r="I195" s="25" t="s">
        <v>786</v>
      </c>
      <c r="J195" s="19"/>
      <c r="K195" s="19" t="s">
        <v>100</v>
      </c>
      <c r="L195" s="22" t="s">
        <v>333</v>
      </c>
      <c r="M195" s="26"/>
      <c r="N195" s="26"/>
      <c r="O195" s="26"/>
      <c r="P195" s="26"/>
      <c r="Q195" s="26"/>
    </row>
    <row r="196" ht="15.75" customHeight="1">
      <c r="A196" s="17" t="s">
        <v>29</v>
      </c>
      <c r="B196" s="9" t="s">
        <v>775</v>
      </c>
      <c r="C196" s="19" t="s">
        <v>787</v>
      </c>
      <c r="D196" s="22" t="s">
        <v>788</v>
      </c>
      <c r="E196" s="19" t="s">
        <v>116</v>
      </c>
      <c r="F196" s="19" t="s">
        <v>335</v>
      </c>
      <c r="G196" s="19" t="s">
        <v>90</v>
      </c>
      <c r="H196" s="24" t="s">
        <v>59</v>
      </c>
      <c r="I196" s="25" t="s">
        <v>789</v>
      </c>
      <c r="J196" s="19" t="s">
        <v>319</v>
      </c>
      <c r="K196" s="19" t="s">
        <v>78</v>
      </c>
      <c r="L196" s="22"/>
      <c r="M196" s="26"/>
      <c r="N196" s="26"/>
      <c r="O196" s="26"/>
      <c r="P196" s="26"/>
      <c r="Q196" s="26"/>
    </row>
    <row r="197" ht="15.75" customHeight="1">
      <c r="A197" s="17" t="s">
        <v>29</v>
      </c>
      <c r="B197" s="9" t="s">
        <v>775</v>
      </c>
      <c r="C197" s="19" t="s">
        <v>790</v>
      </c>
      <c r="D197" s="22" t="s">
        <v>791</v>
      </c>
      <c r="E197" s="19" t="s">
        <v>116</v>
      </c>
      <c r="F197" s="19" t="s">
        <v>335</v>
      </c>
      <c r="G197" s="19" t="s">
        <v>90</v>
      </c>
      <c r="H197" s="24" t="s">
        <v>59</v>
      </c>
      <c r="I197" s="25" t="s">
        <v>792</v>
      </c>
      <c r="J197" s="19"/>
      <c r="K197" s="19" t="s">
        <v>112</v>
      </c>
      <c r="L197" s="22"/>
      <c r="M197" s="26"/>
      <c r="N197" s="26"/>
      <c r="O197" s="26"/>
      <c r="P197" s="26"/>
      <c r="Q197" s="26"/>
    </row>
    <row r="198" ht="15.75" hidden="1" customHeight="1">
      <c r="A198" s="17" t="s">
        <v>29</v>
      </c>
      <c r="B198" s="9" t="s">
        <v>775</v>
      </c>
      <c r="C198" s="19" t="s">
        <v>362</v>
      </c>
      <c r="D198" s="22" t="s">
        <v>793</v>
      </c>
      <c r="E198" s="19" t="s">
        <v>88</v>
      </c>
      <c r="F198" s="19" t="s">
        <v>364</v>
      </c>
      <c r="G198" s="19" t="s">
        <v>135</v>
      </c>
      <c r="H198" s="22" t="s">
        <v>365</v>
      </c>
      <c r="I198" s="25" t="s">
        <v>794</v>
      </c>
      <c r="J198" s="19"/>
      <c r="K198" s="19" t="s">
        <v>231</v>
      </c>
      <c r="L198" s="22" t="s">
        <v>795</v>
      </c>
      <c r="M198" s="26"/>
      <c r="N198" s="26"/>
      <c r="O198" s="26"/>
      <c r="P198" s="26"/>
      <c r="Q198" s="26"/>
    </row>
    <row r="199" ht="15.75" customHeight="1">
      <c r="A199" s="17" t="s">
        <v>29</v>
      </c>
      <c r="B199" s="9" t="s">
        <v>775</v>
      </c>
      <c r="C199" s="19" t="s">
        <v>174</v>
      </c>
      <c r="D199" s="22" t="s">
        <v>791</v>
      </c>
      <c r="E199" s="19" t="s">
        <v>116</v>
      </c>
      <c r="F199" s="19" t="s">
        <v>796</v>
      </c>
      <c r="G199" s="19" t="s">
        <v>90</v>
      </c>
      <c r="H199" s="24" t="s">
        <v>59</v>
      </c>
      <c r="I199" s="25" t="s">
        <v>797</v>
      </c>
      <c r="J199" s="19" t="s">
        <v>798</v>
      </c>
      <c r="K199" s="19" t="s">
        <v>66</v>
      </c>
      <c r="L199" s="22"/>
      <c r="M199" s="26"/>
      <c r="N199" s="26"/>
      <c r="O199" s="26"/>
      <c r="P199" s="26"/>
      <c r="Q199" s="26"/>
    </row>
    <row r="200" ht="15.75" customHeight="1">
      <c r="A200" s="17" t="s">
        <v>29</v>
      </c>
      <c r="B200" s="9" t="s">
        <v>775</v>
      </c>
      <c r="C200" s="19" t="s">
        <v>174</v>
      </c>
      <c r="D200" s="22" t="s">
        <v>799</v>
      </c>
      <c r="E200" s="19" t="s">
        <v>116</v>
      </c>
      <c r="F200" s="19" t="s">
        <v>335</v>
      </c>
      <c r="G200" s="19" t="s">
        <v>90</v>
      </c>
      <c r="H200" s="24" t="s">
        <v>59</v>
      </c>
      <c r="I200" s="25" t="s">
        <v>800</v>
      </c>
      <c r="J200" s="19"/>
      <c r="K200" s="19" t="s">
        <v>125</v>
      </c>
      <c r="L200" s="22" t="s">
        <v>801</v>
      </c>
      <c r="M200" s="26"/>
      <c r="N200" s="26"/>
      <c r="O200" s="26"/>
      <c r="P200" s="26"/>
      <c r="Q200" s="26"/>
    </row>
    <row r="201" ht="15.75" hidden="1" customHeight="1">
      <c r="A201" s="17" t="s">
        <v>29</v>
      </c>
      <c r="B201" s="9" t="s">
        <v>802</v>
      </c>
      <c r="C201" s="19" t="s">
        <v>803</v>
      </c>
      <c r="D201" s="22" t="s">
        <v>804</v>
      </c>
      <c r="E201" s="19" t="s">
        <v>88</v>
      </c>
      <c r="F201" s="19" t="s">
        <v>805</v>
      </c>
      <c r="G201" s="19" t="s">
        <v>57</v>
      </c>
      <c r="H201" s="22" t="s">
        <v>365</v>
      </c>
      <c r="I201" s="25" t="s">
        <v>806</v>
      </c>
      <c r="J201" s="19" t="s">
        <v>337</v>
      </c>
      <c r="K201" s="19" t="s">
        <v>66</v>
      </c>
      <c r="L201" s="22" t="s">
        <v>807</v>
      </c>
      <c r="M201" s="26"/>
      <c r="N201" s="26"/>
      <c r="O201" s="26"/>
      <c r="P201" s="26"/>
      <c r="Q201" s="26"/>
    </row>
    <row r="202" ht="15.75" hidden="1" customHeight="1">
      <c r="A202" s="17" t="s">
        <v>29</v>
      </c>
      <c r="B202" s="9" t="s">
        <v>802</v>
      </c>
      <c r="C202" s="19" t="s">
        <v>808</v>
      </c>
      <c r="D202" s="22" t="s">
        <v>809</v>
      </c>
      <c r="E202" s="19" t="s">
        <v>88</v>
      </c>
      <c r="F202" s="19" t="s">
        <v>421</v>
      </c>
      <c r="G202" s="19" t="s">
        <v>57</v>
      </c>
      <c r="H202" s="22" t="s">
        <v>365</v>
      </c>
      <c r="I202" s="25" t="s">
        <v>810</v>
      </c>
      <c r="J202" s="19" t="s">
        <v>811</v>
      </c>
      <c r="K202" s="19" t="s">
        <v>66</v>
      </c>
      <c r="L202" s="22" t="s">
        <v>812</v>
      </c>
      <c r="M202" s="26"/>
      <c r="N202" s="26"/>
      <c r="O202" s="26"/>
      <c r="P202" s="26"/>
      <c r="Q202" s="26"/>
    </row>
    <row r="203" ht="15.75" hidden="1" customHeight="1">
      <c r="A203" s="17" t="s">
        <v>29</v>
      </c>
      <c r="B203" s="9" t="s">
        <v>802</v>
      </c>
      <c r="C203" s="19" t="s">
        <v>813</v>
      </c>
      <c r="D203" s="22" t="s">
        <v>814</v>
      </c>
      <c r="E203" s="19" t="s">
        <v>88</v>
      </c>
      <c r="F203" s="19" t="s">
        <v>241</v>
      </c>
      <c r="G203" s="19" t="s">
        <v>57</v>
      </c>
      <c r="H203" s="22" t="s">
        <v>365</v>
      </c>
      <c r="I203" s="25" t="s">
        <v>815</v>
      </c>
      <c r="J203" s="19" t="s">
        <v>456</v>
      </c>
      <c r="K203" s="19" t="s">
        <v>52</v>
      </c>
      <c r="L203" s="22" t="s">
        <v>816</v>
      </c>
      <c r="M203" s="26"/>
      <c r="N203" s="26"/>
      <c r="O203" s="26"/>
      <c r="P203" s="26"/>
      <c r="Q203" s="26"/>
    </row>
    <row r="204" ht="15.75" customHeight="1">
      <c r="A204" s="30" t="s">
        <v>33</v>
      </c>
      <c r="B204" s="9" t="s">
        <v>817</v>
      </c>
      <c r="C204" s="19" t="s">
        <v>329</v>
      </c>
      <c r="D204" s="22" t="s">
        <v>818</v>
      </c>
      <c r="E204" s="19" t="s">
        <v>119</v>
      </c>
      <c r="F204" s="19" t="s">
        <v>331</v>
      </c>
      <c r="G204" s="19" t="s">
        <v>90</v>
      </c>
      <c r="H204" s="24" t="s">
        <v>59</v>
      </c>
      <c r="I204" s="25" t="s">
        <v>819</v>
      </c>
      <c r="J204" s="19"/>
      <c r="K204" s="19" t="s">
        <v>125</v>
      </c>
      <c r="L204" s="22"/>
      <c r="M204" s="26"/>
      <c r="N204" s="26"/>
      <c r="O204" s="26"/>
      <c r="P204" s="26"/>
      <c r="Q204" s="26"/>
    </row>
    <row r="205" ht="15.75" hidden="1" customHeight="1">
      <c r="A205" s="30" t="s">
        <v>33</v>
      </c>
      <c r="B205" s="9" t="s">
        <v>817</v>
      </c>
      <c r="C205" s="19" t="s">
        <v>820</v>
      </c>
      <c r="D205" s="22" t="s">
        <v>656</v>
      </c>
      <c r="E205" s="19" t="s">
        <v>54</v>
      </c>
      <c r="F205" s="19" t="s">
        <v>631</v>
      </c>
      <c r="G205" s="19" t="s">
        <v>57</v>
      </c>
      <c r="H205" s="22" t="s">
        <v>365</v>
      </c>
      <c r="I205" s="25" t="s">
        <v>821</v>
      </c>
      <c r="J205" s="19" t="s">
        <v>157</v>
      </c>
      <c r="K205" s="19" t="s">
        <v>152</v>
      </c>
      <c r="L205" s="22" t="s">
        <v>822</v>
      </c>
      <c r="M205" s="26"/>
      <c r="N205" s="26"/>
      <c r="O205" s="26"/>
      <c r="P205" s="26"/>
      <c r="Q205" s="26"/>
    </row>
    <row r="206" ht="15.75" hidden="1" customHeight="1">
      <c r="A206" s="30" t="s">
        <v>33</v>
      </c>
      <c r="B206" s="9" t="s">
        <v>817</v>
      </c>
      <c r="C206" s="19" t="s">
        <v>820</v>
      </c>
      <c r="D206" s="22" t="s">
        <v>823</v>
      </c>
      <c r="E206" s="19" t="s">
        <v>54</v>
      </c>
      <c r="F206" s="19" t="s">
        <v>824</v>
      </c>
      <c r="G206" s="19" t="s">
        <v>57</v>
      </c>
      <c r="H206" s="22" t="s">
        <v>365</v>
      </c>
      <c r="I206" s="25" t="s">
        <v>825</v>
      </c>
      <c r="J206" s="19"/>
      <c r="K206" s="19" t="s">
        <v>162</v>
      </c>
      <c r="L206" s="22" t="s">
        <v>826</v>
      </c>
      <c r="M206" s="26"/>
      <c r="N206" s="26"/>
      <c r="O206" s="26"/>
      <c r="P206" s="26"/>
      <c r="Q206" s="26"/>
    </row>
    <row r="207" ht="15.75" customHeight="1">
      <c r="A207" s="30" t="s">
        <v>33</v>
      </c>
      <c r="B207" s="9" t="s">
        <v>817</v>
      </c>
      <c r="C207" s="19" t="s">
        <v>827</v>
      </c>
      <c r="D207" s="22" t="s">
        <v>828</v>
      </c>
      <c r="E207" s="19" t="s">
        <v>109</v>
      </c>
      <c r="F207" s="19" t="s">
        <v>295</v>
      </c>
      <c r="G207" s="19" t="s">
        <v>90</v>
      </c>
      <c r="H207" s="24" t="s">
        <v>59</v>
      </c>
      <c r="I207" s="25" t="s">
        <v>829</v>
      </c>
      <c r="J207" s="19"/>
      <c r="K207" s="19" t="s">
        <v>100</v>
      </c>
      <c r="L207" s="22" t="s">
        <v>830</v>
      </c>
      <c r="M207" s="26"/>
      <c r="N207" s="26"/>
      <c r="O207" s="26"/>
      <c r="P207" s="26"/>
      <c r="Q207" s="26"/>
    </row>
    <row r="208" ht="15.75" customHeight="1">
      <c r="A208" s="30" t="s">
        <v>33</v>
      </c>
      <c r="B208" s="9" t="s">
        <v>817</v>
      </c>
      <c r="C208" s="19" t="s">
        <v>384</v>
      </c>
      <c r="D208" s="22" t="s">
        <v>831</v>
      </c>
      <c r="E208" s="19" t="s">
        <v>119</v>
      </c>
      <c r="F208" s="19" t="s">
        <v>335</v>
      </c>
      <c r="G208" s="19" t="s">
        <v>90</v>
      </c>
      <c r="H208" s="24" t="s">
        <v>59</v>
      </c>
      <c r="I208" s="25" t="s">
        <v>832</v>
      </c>
      <c r="J208" s="19"/>
      <c r="K208" s="19" t="s">
        <v>125</v>
      </c>
      <c r="L208" s="22"/>
      <c r="M208" s="26"/>
      <c r="N208" s="26"/>
      <c r="O208" s="26"/>
      <c r="P208" s="26"/>
      <c r="Q208" s="26"/>
    </row>
    <row r="209" ht="15.75" customHeight="1">
      <c r="A209" s="30" t="s">
        <v>33</v>
      </c>
      <c r="B209" s="9" t="s">
        <v>817</v>
      </c>
      <c r="C209" s="19" t="s">
        <v>182</v>
      </c>
      <c r="D209" s="22" t="s">
        <v>831</v>
      </c>
      <c r="E209" s="19" t="s">
        <v>119</v>
      </c>
      <c r="F209" s="19" t="s">
        <v>335</v>
      </c>
      <c r="G209" s="19" t="s">
        <v>90</v>
      </c>
      <c r="H209" s="24" t="s">
        <v>59</v>
      </c>
      <c r="I209" s="25" t="s">
        <v>833</v>
      </c>
      <c r="J209" s="19" t="s">
        <v>337</v>
      </c>
      <c r="K209" s="19" t="s">
        <v>92</v>
      </c>
      <c r="L209" s="22"/>
      <c r="M209" s="26"/>
      <c r="N209" s="26"/>
      <c r="O209" s="26"/>
      <c r="P209" s="26"/>
      <c r="Q209" s="26"/>
    </row>
    <row r="210" ht="15.75" customHeight="1">
      <c r="A210" s="30" t="s">
        <v>33</v>
      </c>
      <c r="B210" s="9" t="s">
        <v>817</v>
      </c>
      <c r="C210" s="19" t="s">
        <v>182</v>
      </c>
      <c r="D210" s="22" t="s">
        <v>818</v>
      </c>
      <c r="E210" s="19" t="s">
        <v>119</v>
      </c>
      <c r="F210" s="19" t="s">
        <v>335</v>
      </c>
      <c r="G210" s="19" t="s">
        <v>90</v>
      </c>
      <c r="H210" s="24" t="s">
        <v>59</v>
      </c>
      <c r="I210" s="25" t="s">
        <v>834</v>
      </c>
      <c r="J210" s="19" t="s">
        <v>337</v>
      </c>
      <c r="K210" s="19" t="s">
        <v>92</v>
      </c>
      <c r="L210" s="22"/>
      <c r="M210" s="26"/>
      <c r="N210" s="26"/>
      <c r="O210" s="26"/>
      <c r="P210" s="26"/>
      <c r="Q210" s="26"/>
    </row>
    <row r="211" ht="15.75" customHeight="1">
      <c r="A211" s="30" t="s">
        <v>33</v>
      </c>
      <c r="B211" s="9" t="s">
        <v>817</v>
      </c>
      <c r="C211" s="19" t="s">
        <v>182</v>
      </c>
      <c r="D211" s="22" t="s">
        <v>835</v>
      </c>
      <c r="E211" s="19" t="s">
        <v>119</v>
      </c>
      <c r="F211" s="19" t="s">
        <v>335</v>
      </c>
      <c r="G211" s="19" t="s">
        <v>90</v>
      </c>
      <c r="H211" s="24" t="s">
        <v>59</v>
      </c>
      <c r="I211" s="25" t="s">
        <v>836</v>
      </c>
      <c r="J211" s="19" t="s">
        <v>337</v>
      </c>
      <c r="K211" s="19" t="s">
        <v>92</v>
      </c>
      <c r="L211" s="22"/>
      <c r="M211" s="26"/>
      <c r="N211" s="26"/>
      <c r="O211" s="26"/>
      <c r="P211" s="26"/>
      <c r="Q211" s="26"/>
    </row>
    <row r="212" ht="15.75" customHeight="1">
      <c r="A212" s="30" t="s">
        <v>33</v>
      </c>
      <c r="B212" s="9" t="s">
        <v>817</v>
      </c>
      <c r="C212" s="19" t="s">
        <v>182</v>
      </c>
      <c r="D212" s="22" t="s">
        <v>837</v>
      </c>
      <c r="E212" s="19" t="s">
        <v>119</v>
      </c>
      <c r="F212" s="19" t="s">
        <v>335</v>
      </c>
      <c r="G212" s="19" t="s">
        <v>90</v>
      </c>
      <c r="H212" s="24" t="s">
        <v>59</v>
      </c>
      <c r="I212" s="25" t="s">
        <v>838</v>
      </c>
      <c r="J212" s="19" t="s">
        <v>337</v>
      </c>
      <c r="K212" s="19" t="s">
        <v>92</v>
      </c>
      <c r="L212" s="22"/>
      <c r="M212" s="26"/>
      <c r="N212" s="26"/>
      <c r="O212" s="26"/>
      <c r="P212" s="26"/>
      <c r="Q212" s="26"/>
    </row>
    <row r="213" ht="15.75" hidden="1" customHeight="1">
      <c r="A213" s="30" t="s">
        <v>33</v>
      </c>
      <c r="B213" s="9" t="s">
        <v>817</v>
      </c>
      <c r="C213" s="19" t="s">
        <v>839</v>
      </c>
      <c r="D213" s="22" t="s">
        <v>840</v>
      </c>
      <c r="E213" s="19" t="s">
        <v>88</v>
      </c>
      <c r="F213" s="19" t="s">
        <v>805</v>
      </c>
      <c r="G213" s="19" t="s">
        <v>135</v>
      </c>
      <c r="H213" s="22" t="s">
        <v>155</v>
      </c>
      <c r="I213" s="25" t="s">
        <v>841</v>
      </c>
      <c r="J213" s="19" t="s">
        <v>337</v>
      </c>
      <c r="K213" s="19" t="s">
        <v>78</v>
      </c>
      <c r="L213" s="22" t="s">
        <v>723</v>
      </c>
      <c r="M213" s="26"/>
      <c r="N213" s="26"/>
      <c r="O213" s="26"/>
      <c r="P213" s="26"/>
      <c r="Q213" s="26"/>
    </row>
    <row r="214" ht="15.75" hidden="1" customHeight="1">
      <c r="A214" s="30" t="s">
        <v>33</v>
      </c>
      <c r="B214" s="9" t="s">
        <v>817</v>
      </c>
      <c r="C214" s="19" t="s">
        <v>842</v>
      </c>
      <c r="D214" s="22" t="s">
        <v>843</v>
      </c>
      <c r="E214" s="19" t="s">
        <v>54</v>
      </c>
      <c r="F214" s="19" t="s">
        <v>421</v>
      </c>
      <c r="G214" s="19" t="s">
        <v>57</v>
      </c>
      <c r="H214" s="22" t="s">
        <v>365</v>
      </c>
      <c r="I214" s="25" t="s">
        <v>844</v>
      </c>
      <c r="J214" s="19" t="s">
        <v>337</v>
      </c>
      <c r="K214" s="19" t="s">
        <v>66</v>
      </c>
      <c r="L214" s="22"/>
      <c r="M214" s="26"/>
      <c r="N214" s="26"/>
      <c r="O214" s="26"/>
      <c r="P214" s="26"/>
      <c r="Q214" s="26"/>
    </row>
    <row r="215" ht="15.75" hidden="1" customHeight="1">
      <c r="A215" s="30" t="s">
        <v>33</v>
      </c>
      <c r="B215" s="9" t="s">
        <v>817</v>
      </c>
      <c r="C215" s="19" t="s">
        <v>845</v>
      </c>
      <c r="D215" s="22" t="s">
        <v>846</v>
      </c>
      <c r="E215" s="19" t="s">
        <v>88</v>
      </c>
      <c r="F215" s="19" t="s">
        <v>55</v>
      </c>
      <c r="G215" s="19" t="s">
        <v>135</v>
      </c>
      <c r="H215" s="22" t="s">
        <v>155</v>
      </c>
      <c r="I215" s="25" t="s">
        <v>847</v>
      </c>
      <c r="J215" s="19"/>
      <c r="K215" s="19" t="s">
        <v>40</v>
      </c>
      <c r="L215" s="22" t="s">
        <v>848</v>
      </c>
      <c r="M215" s="26"/>
      <c r="N215" s="26"/>
      <c r="O215" s="26"/>
      <c r="P215" s="26"/>
      <c r="Q215" s="26"/>
    </row>
    <row r="216" ht="15.75" hidden="1" customHeight="1">
      <c r="A216" s="30" t="s">
        <v>33</v>
      </c>
      <c r="B216" s="9" t="s">
        <v>817</v>
      </c>
      <c r="C216" s="19" t="s">
        <v>849</v>
      </c>
      <c r="D216" s="22" t="s">
        <v>850</v>
      </c>
      <c r="E216" s="19" t="s">
        <v>54</v>
      </c>
      <c r="F216" s="19" t="s">
        <v>631</v>
      </c>
      <c r="G216" s="19" t="s">
        <v>57</v>
      </c>
      <c r="H216" s="22" t="s">
        <v>365</v>
      </c>
      <c r="I216" s="25" t="s">
        <v>851</v>
      </c>
      <c r="J216" s="19"/>
      <c r="K216" s="19" t="s">
        <v>204</v>
      </c>
      <c r="L216" s="22" t="s">
        <v>852</v>
      </c>
      <c r="M216" s="26"/>
      <c r="N216" s="26"/>
      <c r="O216" s="26"/>
      <c r="P216" s="26"/>
      <c r="Q216" s="26"/>
    </row>
    <row r="217" ht="15.75" hidden="1" customHeight="1">
      <c r="A217" s="30" t="s">
        <v>33</v>
      </c>
      <c r="B217" s="9" t="s">
        <v>817</v>
      </c>
      <c r="C217" s="19" t="s">
        <v>849</v>
      </c>
      <c r="D217" s="22" t="s">
        <v>853</v>
      </c>
      <c r="E217" s="19" t="s">
        <v>54</v>
      </c>
      <c r="F217" s="19" t="s">
        <v>186</v>
      </c>
      <c r="G217" s="19" t="s">
        <v>57</v>
      </c>
      <c r="H217" s="22" t="s">
        <v>365</v>
      </c>
      <c r="I217" s="25" t="s">
        <v>854</v>
      </c>
      <c r="J217" s="19"/>
      <c r="K217" s="19" t="s">
        <v>204</v>
      </c>
      <c r="L217" s="22" t="s">
        <v>855</v>
      </c>
      <c r="M217" s="26"/>
      <c r="N217" s="26"/>
      <c r="O217" s="26"/>
      <c r="P217" s="26"/>
      <c r="Q217" s="26"/>
    </row>
    <row r="218" ht="15.75" customHeight="1">
      <c r="A218" s="30" t="s">
        <v>33</v>
      </c>
      <c r="B218" s="9" t="s">
        <v>817</v>
      </c>
      <c r="C218" s="19" t="s">
        <v>358</v>
      </c>
      <c r="D218" s="22" t="s">
        <v>831</v>
      </c>
      <c r="E218" s="19" t="s">
        <v>119</v>
      </c>
      <c r="F218" s="19" t="s">
        <v>335</v>
      </c>
      <c r="G218" s="19" t="s">
        <v>90</v>
      </c>
      <c r="H218" s="24" t="s">
        <v>59</v>
      </c>
      <c r="I218" s="25" t="s">
        <v>360</v>
      </c>
      <c r="J218" s="19"/>
      <c r="K218" s="19" t="s">
        <v>112</v>
      </c>
      <c r="L218" s="22"/>
      <c r="M218" s="26"/>
      <c r="N218" s="26"/>
      <c r="O218" s="26"/>
      <c r="P218" s="26"/>
      <c r="Q218" s="26"/>
    </row>
    <row r="219" ht="15.75" hidden="1" customHeight="1">
      <c r="A219" s="30" t="s">
        <v>33</v>
      </c>
      <c r="B219" s="9" t="s">
        <v>856</v>
      </c>
      <c r="C219" s="19" t="s">
        <v>192</v>
      </c>
      <c r="D219" s="22" t="s">
        <v>857</v>
      </c>
      <c r="E219" s="19" t="s">
        <v>116</v>
      </c>
      <c r="F219" s="19" t="s">
        <v>858</v>
      </c>
      <c r="G219" s="19" t="s">
        <v>135</v>
      </c>
      <c r="H219" s="24" t="s">
        <v>59</v>
      </c>
      <c r="I219" s="25" t="s">
        <v>859</v>
      </c>
      <c r="J219" s="19"/>
      <c r="K219" s="19" t="s">
        <v>122</v>
      </c>
      <c r="L219" s="22" t="s">
        <v>860</v>
      </c>
      <c r="M219" s="26"/>
      <c r="N219" s="26"/>
      <c r="O219" s="26"/>
      <c r="P219" s="26"/>
      <c r="Q219" s="26"/>
    </row>
    <row r="220" ht="15.75" hidden="1" customHeight="1">
      <c r="A220" s="30" t="s">
        <v>33</v>
      </c>
      <c r="B220" s="9" t="s">
        <v>856</v>
      </c>
      <c r="C220" s="19" t="s">
        <v>192</v>
      </c>
      <c r="D220" s="22" t="s">
        <v>861</v>
      </c>
      <c r="E220" s="19" t="s">
        <v>116</v>
      </c>
      <c r="F220" s="19" t="s">
        <v>858</v>
      </c>
      <c r="G220" s="19" t="s">
        <v>135</v>
      </c>
      <c r="H220" s="24" t="s">
        <v>59</v>
      </c>
      <c r="I220" s="25" t="s">
        <v>862</v>
      </c>
      <c r="J220" s="19"/>
      <c r="K220" s="19" t="s">
        <v>122</v>
      </c>
      <c r="L220" s="22" t="s">
        <v>863</v>
      </c>
      <c r="M220" s="26"/>
      <c r="N220" s="26"/>
      <c r="O220" s="26"/>
      <c r="P220" s="26"/>
      <c r="Q220" s="26"/>
    </row>
    <row r="221" ht="15.75" hidden="1" customHeight="1">
      <c r="A221" s="30" t="s">
        <v>33</v>
      </c>
      <c r="B221" s="9" t="s">
        <v>856</v>
      </c>
      <c r="C221" s="19" t="s">
        <v>192</v>
      </c>
      <c r="D221" s="22" t="s">
        <v>864</v>
      </c>
      <c r="E221" s="19" t="s">
        <v>116</v>
      </c>
      <c r="F221" s="19" t="s">
        <v>858</v>
      </c>
      <c r="G221" s="19" t="s">
        <v>135</v>
      </c>
      <c r="H221" s="24" t="s">
        <v>59</v>
      </c>
      <c r="I221" s="25" t="s">
        <v>865</v>
      </c>
      <c r="J221" s="19"/>
      <c r="K221" s="19" t="s">
        <v>122</v>
      </c>
      <c r="L221" s="22" t="s">
        <v>860</v>
      </c>
      <c r="M221" s="26"/>
      <c r="N221" s="26"/>
      <c r="O221" s="26"/>
      <c r="P221" s="26"/>
      <c r="Q221" s="26"/>
    </row>
    <row r="222" ht="15.75" customHeight="1">
      <c r="A222" s="30" t="s">
        <v>33</v>
      </c>
      <c r="B222" s="9" t="s">
        <v>856</v>
      </c>
      <c r="C222" s="19" t="s">
        <v>866</v>
      </c>
      <c r="D222" s="22" t="s">
        <v>867</v>
      </c>
      <c r="E222" s="19" t="s">
        <v>54</v>
      </c>
      <c r="F222" s="19" t="s">
        <v>868</v>
      </c>
      <c r="G222" s="19" t="s">
        <v>90</v>
      </c>
      <c r="H222" s="24" t="s">
        <v>59</v>
      </c>
      <c r="I222" s="25" t="s">
        <v>869</v>
      </c>
      <c r="J222" s="19" t="s">
        <v>262</v>
      </c>
      <c r="K222" s="19" t="s">
        <v>130</v>
      </c>
      <c r="L222" s="22" t="s">
        <v>870</v>
      </c>
      <c r="M222" s="26"/>
      <c r="N222" s="26"/>
      <c r="O222" s="26"/>
      <c r="P222" s="26"/>
      <c r="Q222" s="26"/>
    </row>
    <row r="223" ht="15.75" customHeight="1">
      <c r="A223" s="30" t="s">
        <v>33</v>
      </c>
      <c r="B223" s="9" t="s">
        <v>856</v>
      </c>
      <c r="C223" s="19" t="s">
        <v>871</v>
      </c>
      <c r="D223" s="22" t="s">
        <v>872</v>
      </c>
      <c r="E223" s="19" t="s">
        <v>54</v>
      </c>
      <c r="F223" s="19" t="s">
        <v>873</v>
      </c>
      <c r="G223" s="19" t="s">
        <v>90</v>
      </c>
      <c r="H223" s="24" t="s">
        <v>59</v>
      </c>
      <c r="I223" s="25" t="s">
        <v>789</v>
      </c>
      <c r="J223" s="19"/>
      <c r="K223" s="19" t="s">
        <v>74</v>
      </c>
      <c r="L223" s="22"/>
      <c r="M223" s="26"/>
      <c r="N223" s="26"/>
      <c r="O223" s="26"/>
      <c r="P223" s="26"/>
      <c r="Q223" s="26"/>
    </row>
    <row r="224" ht="15.75" customHeight="1">
      <c r="A224" s="30" t="s">
        <v>33</v>
      </c>
      <c r="B224" s="9" t="s">
        <v>856</v>
      </c>
      <c r="C224" s="19" t="s">
        <v>871</v>
      </c>
      <c r="D224" s="22" t="s">
        <v>874</v>
      </c>
      <c r="E224" s="19" t="s">
        <v>54</v>
      </c>
      <c r="F224" s="19" t="s">
        <v>873</v>
      </c>
      <c r="G224" s="19" t="s">
        <v>90</v>
      </c>
      <c r="H224" s="24" t="s">
        <v>59</v>
      </c>
      <c r="I224" s="25" t="s">
        <v>789</v>
      </c>
      <c r="J224" s="19"/>
      <c r="K224" s="19" t="s">
        <v>74</v>
      </c>
      <c r="L224" s="22"/>
      <c r="M224" s="26"/>
      <c r="N224" s="26"/>
      <c r="O224" s="26"/>
      <c r="P224" s="26"/>
      <c r="Q224" s="26"/>
    </row>
    <row r="225" ht="15.75" customHeight="1">
      <c r="A225" s="30" t="s">
        <v>33</v>
      </c>
      <c r="B225" s="9" t="s">
        <v>856</v>
      </c>
      <c r="C225" s="19" t="s">
        <v>787</v>
      </c>
      <c r="D225" s="22" t="s">
        <v>875</v>
      </c>
      <c r="E225" s="19" t="s">
        <v>54</v>
      </c>
      <c r="F225" s="19" t="s">
        <v>868</v>
      </c>
      <c r="G225" s="19" t="s">
        <v>90</v>
      </c>
      <c r="H225" s="24" t="s">
        <v>59</v>
      </c>
      <c r="I225" s="25" t="s">
        <v>789</v>
      </c>
      <c r="J225" s="19" t="s">
        <v>95</v>
      </c>
      <c r="K225" s="19" t="s">
        <v>78</v>
      </c>
      <c r="L225" s="22"/>
      <c r="M225" s="26"/>
      <c r="N225" s="26"/>
      <c r="O225" s="26"/>
      <c r="P225" s="26"/>
      <c r="Q225" s="26"/>
    </row>
    <row r="226" ht="15.75" customHeight="1">
      <c r="A226" s="30" t="s">
        <v>33</v>
      </c>
      <c r="B226" s="9" t="s">
        <v>856</v>
      </c>
      <c r="C226" s="19" t="s">
        <v>787</v>
      </c>
      <c r="D226" s="22" t="s">
        <v>876</v>
      </c>
      <c r="E226" s="19" t="s">
        <v>54</v>
      </c>
      <c r="F226" s="19" t="s">
        <v>868</v>
      </c>
      <c r="G226" s="19" t="s">
        <v>90</v>
      </c>
      <c r="H226" s="24" t="s">
        <v>59</v>
      </c>
      <c r="I226" s="25" t="s">
        <v>789</v>
      </c>
      <c r="J226" s="19" t="s">
        <v>456</v>
      </c>
      <c r="K226" s="19" t="s">
        <v>78</v>
      </c>
      <c r="L226" s="22"/>
      <c r="M226" s="26"/>
      <c r="N226" s="26"/>
      <c r="O226" s="26"/>
      <c r="P226" s="26"/>
      <c r="Q226" s="26"/>
    </row>
    <row r="227" ht="15.75" customHeight="1">
      <c r="A227" s="30" t="s">
        <v>33</v>
      </c>
      <c r="B227" s="9" t="s">
        <v>856</v>
      </c>
      <c r="C227" s="19" t="s">
        <v>198</v>
      </c>
      <c r="D227" s="22" t="s">
        <v>877</v>
      </c>
      <c r="E227" s="19" t="s">
        <v>54</v>
      </c>
      <c r="F227" s="19" t="s">
        <v>868</v>
      </c>
      <c r="G227" s="19" t="s">
        <v>90</v>
      </c>
      <c r="H227" s="24" t="s">
        <v>59</v>
      </c>
      <c r="I227" s="25" t="s">
        <v>878</v>
      </c>
      <c r="J227" s="19"/>
      <c r="K227" s="19" t="s">
        <v>40</v>
      </c>
      <c r="L227" s="22" t="s">
        <v>879</v>
      </c>
      <c r="M227" s="26"/>
      <c r="N227" s="26"/>
      <c r="O227" s="26"/>
      <c r="P227" s="26"/>
      <c r="Q227" s="26"/>
    </row>
    <row r="228" ht="15.75" customHeight="1">
      <c r="A228" s="30" t="s">
        <v>33</v>
      </c>
      <c r="B228" s="9" t="s">
        <v>856</v>
      </c>
      <c r="C228" s="19" t="s">
        <v>198</v>
      </c>
      <c r="D228" s="22" t="s">
        <v>880</v>
      </c>
      <c r="E228" s="19" t="s">
        <v>54</v>
      </c>
      <c r="F228" s="19" t="s">
        <v>868</v>
      </c>
      <c r="G228" s="19" t="s">
        <v>90</v>
      </c>
      <c r="H228" s="24" t="s">
        <v>59</v>
      </c>
      <c r="I228" s="25" t="s">
        <v>881</v>
      </c>
      <c r="J228" s="19"/>
      <c r="K228" s="19" t="s">
        <v>40</v>
      </c>
      <c r="L228" s="22" t="s">
        <v>882</v>
      </c>
      <c r="M228" s="26"/>
      <c r="N228" s="26"/>
      <c r="O228" s="26"/>
      <c r="P228" s="26"/>
      <c r="Q228" s="26"/>
    </row>
    <row r="229" ht="15.75" customHeight="1">
      <c r="A229" s="30" t="s">
        <v>33</v>
      </c>
      <c r="B229" s="9" t="s">
        <v>856</v>
      </c>
      <c r="C229" s="19" t="s">
        <v>198</v>
      </c>
      <c r="D229" s="22" t="s">
        <v>883</v>
      </c>
      <c r="E229" s="19" t="s">
        <v>54</v>
      </c>
      <c r="F229" s="19" t="s">
        <v>868</v>
      </c>
      <c r="G229" s="19" t="s">
        <v>90</v>
      </c>
      <c r="H229" s="24" t="s">
        <v>59</v>
      </c>
      <c r="I229" s="25" t="s">
        <v>884</v>
      </c>
      <c r="J229" s="19"/>
      <c r="K229" s="19" t="s">
        <v>40</v>
      </c>
      <c r="L229" s="22" t="s">
        <v>879</v>
      </c>
      <c r="M229" s="26"/>
      <c r="N229" s="26"/>
      <c r="O229" s="26"/>
      <c r="P229" s="26"/>
      <c r="Q229" s="26"/>
    </row>
    <row r="230" ht="15.75" hidden="1" customHeight="1">
      <c r="A230" s="30" t="s">
        <v>33</v>
      </c>
      <c r="B230" s="9" t="s">
        <v>856</v>
      </c>
      <c r="C230" s="19" t="s">
        <v>203</v>
      </c>
      <c r="D230" s="22" t="s">
        <v>885</v>
      </c>
      <c r="E230" s="19" t="s">
        <v>116</v>
      </c>
      <c r="F230" s="19" t="s">
        <v>302</v>
      </c>
      <c r="G230" s="19" t="s">
        <v>135</v>
      </c>
      <c r="H230" s="24" t="s">
        <v>59</v>
      </c>
      <c r="I230" s="25" t="s">
        <v>886</v>
      </c>
      <c r="J230" s="19" t="s">
        <v>140</v>
      </c>
      <c r="K230" s="19" t="s">
        <v>13</v>
      </c>
      <c r="L230" s="22" t="s">
        <v>887</v>
      </c>
      <c r="M230" s="26"/>
      <c r="N230" s="26"/>
      <c r="O230" s="26"/>
      <c r="P230" s="26"/>
      <c r="Q230" s="26"/>
    </row>
    <row r="231" ht="15.75" hidden="1" customHeight="1">
      <c r="A231" s="30" t="s">
        <v>33</v>
      </c>
      <c r="B231" s="9" t="s">
        <v>856</v>
      </c>
      <c r="C231" s="19" t="s">
        <v>203</v>
      </c>
      <c r="D231" s="22" t="s">
        <v>888</v>
      </c>
      <c r="E231" s="19" t="s">
        <v>116</v>
      </c>
      <c r="F231" s="19" t="s">
        <v>103</v>
      </c>
      <c r="G231" s="19" t="s">
        <v>135</v>
      </c>
      <c r="H231" s="24" t="s">
        <v>59</v>
      </c>
      <c r="I231" s="25" t="s">
        <v>889</v>
      </c>
      <c r="J231" s="19" t="s">
        <v>140</v>
      </c>
      <c r="K231" s="19" t="s">
        <v>13</v>
      </c>
      <c r="L231" s="22" t="s">
        <v>890</v>
      </c>
      <c r="M231" s="26"/>
      <c r="N231" s="26"/>
      <c r="O231" s="26"/>
      <c r="P231" s="26"/>
      <c r="Q231" s="26"/>
    </row>
    <row r="232" ht="15.75" hidden="1" customHeight="1">
      <c r="A232" s="30" t="s">
        <v>33</v>
      </c>
      <c r="B232" s="9" t="s">
        <v>856</v>
      </c>
      <c r="C232" s="19" t="s">
        <v>203</v>
      </c>
      <c r="D232" s="22" t="s">
        <v>891</v>
      </c>
      <c r="E232" s="19" t="s">
        <v>116</v>
      </c>
      <c r="F232" s="19" t="s">
        <v>302</v>
      </c>
      <c r="G232" s="19" t="s">
        <v>135</v>
      </c>
      <c r="H232" s="24" t="s">
        <v>59</v>
      </c>
      <c r="I232" s="25" t="s">
        <v>892</v>
      </c>
      <c r="J232" s="19"/>
      <c r="K232" s="19" t="s">
        <v>40</v>
      </c>
      <c r="L232" s="22" t="s">
        <v>893</v>
      </c>
      <c r="M232" s="26"/>
      <c r="N232" s="26"/>
      <c r="O232" s="26"/>
      <c r="P232" s="26"/>
      <c r="Q232" s="26"/>
    </row>
    <row r="233" ht="15.75" hidden="1" customHeight="1">
      <c r="A233" s="30" t="s">
        <v>33</v>
      </c>
      <c r="B233" s="9" t="s">
        <v>856</v>
      </c>
      <c r="C233" s="19" t="s">
        <v>203</v>
      </c>
      <c r="D233" s="22" t="s">
        <v>894</v>
      </c>
      <c r="E233" s="19" t="s">
        <v>116</v>
      </c>
      <c r="F233" s="19" t="s">
        <v>302</v>
      </c>
      <c r="G233" s="19" t="s">
        <v>135</v>
      </c>
      <c r="H233" s="24" t="s">
        <v>59</v>
      </c>
      <c r="I233" s="25" t="s">
        <v>895</v>
      </c>
      <c r="J233" s="19"/>
      <c r="K233" s="19" t="s">
        <v>40</v>
      </c>
      <c r="L233" s="22" t="s">
        <v>896</v>
      </c>
      <c r="M233" s="26"/>
      <c r="N233" s="26"/>
      <c r="O233" s="26"/>
      <c r="P233" s="26"/>
      <c r="Q233" s="26"/>
    </row>
    <row r="234" ht="15.75" hidden="1" customHeight="1">
      <c r="A234" s="30" t="s">
        <v>33</v>
      </c>
      <c r="B234" s="9" t="s">
        <v>856</v>
      </c>
      <c r="C234" s="19" t="s">
        <v>183</v>
      </c>
      <c r="D234" s="22" t="s">
        <v>897</v>
      </c>
      <c r="E234" s="19" t="s">
        <v>116</v>
      </c>
      <c r="F234" s="19" t="s">
        <v>302</v>
      </c>
      <c r="G234" s="19" t="s">
        <v>135</v>
      </c>
      <c r="H234" s="24" t="s">
        <v>59</v>
      </c>
      <c r="I234" s="25" t="s">
        <v>898</v>
      </c>
      <c r="J234" s="19"/>
      <c r="K234" s="19" t="s">
        <v>171</v>
      </c>
      <c r="L234" s="22" t="s">
        <v>899</v>
      </c>
      <c r="M234" s="26"/>
      <c r="N234" s="26"/>
      <c r="O234" s="26"/>
      <c r="P234" s="26"/>
      <c r="Q234" s="26"/>
    </row>
    <row r="235" ht="15.75" customHeight="1">
      <c r="A235" s="30" t="s">
        <v>33</v>
      </c>
      <c r="B235" s="9" t="s">
        <v>856</v>
      </c>
      <c r="C235" s="19" t="s">
        <v>174</v>
      </c>
      <c r="D235" s="22" t="s">
        <v>900</v>
      </c>
      <c r="E235" s="19" t="s">
        <v>54</v>
      </c>
      <c r="F235" s="19" t="s">
        <v>901</v>
      </c>
      <c r="G235" s="19" t="s">
        <v>90</v>
      </c>
      <c r="H235" s="24" t="s">
        <v>59</v>
      </c>
      <c r="I235" s="25" t="s">
        <v>902</v>
      </c>
      <c r="J235" s="19"/>
      <c r="K235" s="19" t="s">
        <v>13</v>
      </c>
      <c r="L235" s="22" t="s">
        <v>719</v>
      </c>
      <c r="M235" s="26"/>
      <c r="N235" s="26"/>
      <c r="O235" s="26"/>
      <c r="P235" s="26"/>
      <c r="Q235" s="26"/>
    </row>
    <row r="236" ht="15.75" hidden="1" customHeight="1">
      <c r="A236" s="30" t="s">
        <v>33</v>
      </c>
      <c r="B236" s="9" t="s">
        <v>856</v>
      </c>
      <c r="C236" s="19" t="s">
        <v>84</v>
      </c>
      <c r="D236" s="22" t="s">
        <v>493</v>
      </c>
      <c r="E236" s="19" t="s">
        <v>116</v>
      </c>
      <c r="F236" s="19" t="s">
        <v>103</v>
      </c>
      <c r="G236" s="19" t="s">
        <v>135</v>
      </c>
      <c r="H236" s="24" t="s">
        <v>59</v>
      </c>
      <c r="I236" s="25" t="s">
        <v>903</v>
      </c>
      <c r="J236" s="19" t="s">
        <v>140</v>
      </c>
      <c r="K236" s="19" t="s">
        <v>13</v>
      </c>
      <c r="L236" s="22"/>
      <c r="M236" s="26"/>
      <c r="N236" s="26"/>
      <c r="O236" s="26"/>
      <c r="P236" s="26"/>
      <c r="Q236" s="26"/>
    </row>
    <row r="237" ht="15.75" hidden="1" customHeight="1">
      <c r="A237" s="30" t="s">
        <v>33</v>
      </c>
      <c r="B237" s="9" t="s">
        <v>856</v>
      </c>
      <c r="C237" s="19" t="s">
        <v>84</v>
      </c>
      <c r="D237" s="22" t="s">
        <v>904</v>
      </c>
      <c r="E237" s="19" t="s">
        <v>116</v>
      </c>
      <c r="F237" s="19" t="s">
        <v>89</v>
      </c>
      <c r="G237" s="19" t="s">
        <v>135</v>
      </c>
      <c r="H237" s="24" t="s">
        <v>59</v>
      </c>
      <c r="I237" s="25" t="s">
        <v>905</v>
      </c>
      <c r="J237" s="19" t="s">
        <v>140</v>
      </c>
      <c r="K237" s="19" t="s">
        <v>122</v>
      </c>
      <c r="L237" s="22" t="s">
        <v>906</v>
      </c>
      <c r="M237" s="26"/>
      <c r="N237" s="26"/>
      <c r="O237" s="26"/>
      <c r="P237" s="26"/>
      <c r="Q237" s="26"/>
    </row>
    <row r="238" ht="15.75" hidden="1" customHeight="1">
      <c r="A238" s="30" t="s">
        <v>33</v>
      </c>
      <c r="B238" s="9" t="s">
        <v>856</v>
      </c>
      <c r="C238" s="19" t="s">
        <v>84</v>
      </c>
      <c r="D238" s="22" t="s">
        <v>907</v>
      </c>
      <c r="E238" s="19" t="s">
        <v>116</v>
      </c>
      <c r="F238" s="19" t="s">
        <v>89</v>
      </c>
      <c r="G238" s="19" t="s">
        <v>135</v>
      </c>
      <c r="H238" s="24" t="s">
        <v>59</v>
      </c>
      <c r="I238" s="25" t="s">
        <v>908</v>
      </c>
      <c r="J238" s="19" t="s">
        <v>140</v>
      </c>
      <c r="K238" s="19" t="s">
        <v>13</v>
      </c>
      <c r="L238" s="22"/>
      <c r="M238" s="26"/>
      <c r="N238" s="26"/>
      <c r="O238" s="26"/>
      <c r="P238" s="26"/>
      <c r="Q238" s="26"/>
    </row>
    <row r="239" ht="15.75" hidden="1" customHeight="1">
      <c r="A239" s="30" t="s">
        <v>33</v>
      </c>
      <c r="B239" s="9" t="s">
        <v>856</v>
      </c>
      <c r="C239" s="19" t="s">
        <v>84</v>
      </c>
      <c r="D239" s="22" t="s">
        <v>909</v>
      </c>
      <c r="E239" s="19" t="s">
        <v>116</v>
      </c>
      <c r="F239" s="19" t="s">
        <v>89</v>
      </c>
      <c r="G239" s="19" t="s">
        <v>135</v>
      </c>
      <c r="H239" s="24" t="s">
        <v>59</v>
      </c>
      <c r="I239" s="25" t="s">
        <v>910</v>
      </c>
      <c r="J239" s="19" t="s">
        <v>319</v>
      </c>
      <c r="K239" s="19" t="s">
        <v>78</v>
      </c>
      <c r="L239" s="22" t="s">
        <v>320</v>
      </c>
      <c r="M239" s="26"/>
      <c r="N239" s="26"/>
      <c r="O239" s="26"/>
      <c r="P239" s="26"/>
      <c r="Q239" s="26"/>
    </row>
    <row r="240" ht="15.75" hidden="1" customHeight="1">
      <c r="A240" s="30" t="s">
        <v>33</v>
      </c>
      <c r="B240" s="9" t="s">
        <v>856</v>
      </c>
      <c r="C240" s="19" t="s">
        <v>84</v>
      </c>
      <c r="D240" s="22" t="s">
        <v>911</v>
      </c>
      <c r="E240" s="19" t="s">
        <v>116</v>
      </c>
      <c r="F240" s="19" t="s">
        <v>89</v>
      </c>
      <c r="G240" s="19" t="s">
        <v>135</v>
      </c>
      <c r="H240" s="24" t="s">
        <v>59</v>
      </c>
      <c r="I240" s="25" t="s">
        <v>912</v>
      </c>
      <c r="J240" s="19" t="s">
        <v>319</v>
      </c>
      <c r="K240" s="19" t="s">
        <v>78</v>
      </c>
      <c r="L240" s="22" t="s">
        <v>320</v>
      </c>
      <c r="M240" s="26"/>
      <c r="N240" s="26"/>
      <c r="O240" s="26"/>
      <c r="P240" s="26"/>
      <c r="Q240" s="26"/>
    </row>
    <row r="241" ht="15.75" hidden="1" customHeight="1">
      <c r="A241" s="30" t="s">
        <v>33</v>
      </c>
      <c r="B241" s="9" t="s">
        <v>856</v>
      </c>
      <c r="C241" s="19" t="s">
        <v>84</v>
      </c>
      <c r="D241" s="22" t="s">
        <v>548</v>
      </c>
      <c r="E241" s="19" t="s">
        <v>116</v>
      </c>
      <c r="F241" s="19" t="s">
        <v>89</v>
      </c>
      <c r="G241" s="19" t="s">
        <v>135</v>
      </c>
      <c r="H241" s="24" t="s">
        <v>59</v>
      </c>
      <c r="I241" s="25" t="s">
        <v>913</v>
      </c>
      <c r="J241" s="19" t="s">
        <v>140</v>
      </c>
      <c r="K241" s="19" t="s">
        <v>13</v>
      </c>
      <c r="L241" s="22"/>
      <c r="M241" s="26"/>
      <c r="N241" s="26"/>
      <c r="O241" s="26"/>
      <c r="P241" s="26"/>
      <c r="Q241" s="26"/>
    </row>
    <row r="242" ht="15.75" hidden="1" customHeight="1">
      <c r="A242" s="30" t="s">
        <v>33</v>
      </c>
      <c r="B242" s="9" t="s">
        <v>856</v>
      </c>
      <c r="C242" s="19" t="s">
        <v>84</v>
      </c>
      <c r="D242" s="22" t="s">
        <v>914</v>
      </c>
      <c r="E242" s="19" t="s">
        <v>116</v>
      </c>
      <c r="F242" s="19" t="s">
        <v>89</v>
      </c>
      <c r="G242" s="19" t="s">
        <v>135</v>
      </c>
      <c r="H242" s="24" t="s">
        <v>59</v>
      </c>
      <c r="I242" s="25" t="s">
        <v>915</v>
      </c>
      <c r="J242" s="19" t="s">
        <v>456</v>
      </c>
      <c r="K242" s="19" t="s">
        <v>52</v>
      </c>
      <c r="L242" s="22" t="s">
        <v>916</v>
      </c>
      <c r="M242" s="26"/>
      <c r="N242" s="26"/>
      <c r="O242" s="26"/>
      <c r="P242" s="26"/>
      <c r="Q242" s="26"/>
    </row>
    <row r="243" ht="15.75" customHeight="1">
      <c r="A243" s="30" t="s">
        <v>33</v>
      </c>
      <c r="B243" s="9" t="s">
        <v>917</v>
      </c>
      <c r="C243" s="19" t="s">
        <v>918</v>
      </c>
      <c r="D243" s="22" t="s">
        <v>919</v>
      </c>
      <c r="E243" s="19" t="s">
        <v>54</v>
      </c>
      <c r="F243" s="19" t="s">
        <v>920</v>
      </c>
      <c r="G243" s="19" t="s">
        <v>90</v>
      </c>
      <c r="H243" s="22" t="s">
        <v>155</v>
      </c>
      <c r="I243" s="25" t="s">
        <v>921</v>
      </c>
      <c r="J243" s="19" t="s">
        <v>635</v>
      </c>
      <c r="K243" s="19" t="s">
        <v>92</v>
      </c>
      <c r="L243" s="22"/>
      <c r="M243" s="26"/>
      <c r="N243" s="26"/>
      <c r="O243" s="26"/>
      <c r="P243" s="26"/>
      <c r="Q243" s="26"/>
    </row>
    <row r="244" ht="15.75" hidden="1" customHeight="1">
      <c r="A244" s="30" t="s">
        <v>33</v>
      </c>
      <c r="B244" s="9" t="s">
        <v>917</v>
      </c>
      <c r="C244" s="19" t="s">
        <v>922</v>
      </c>
      <c r="D244" s="22" t="s">
        <v>923</v>
      </c>
      <c r="E244" s="19" t="s">
        <v>88</v>
      </c>
      <c r="F244" s="19" t="s">
        <v>924</v>
      </c>
      <c r="G244" s="19" t="s">
        <v>57</v>
      </c>
      <c r="H244" s="22" t="s">
        <v>155</v>
      </c>
      <c r="I244" s="25" t="s">
        <v>925</v>
      </c>
      <c r="J244" s="19" t="s">
        <v>926</v>
      </c>
      <c r="K244" s="19" t="s">
        <v>105</v>
      </c>
      <c r="L244" s="22" t="s">
        <v>927</v>
      </c>
      <c r="M244" s="26"/>
      <c r="N244" s="26"/>
      <c r="O244" s="26"/>
      <c r="P244" s="26"/>
      <c r="Q244" s="26"/>
    </row>
    <row r="245" ht="15.75" customHeight="1">
      <c r="A245" s="30" t="s">
        <v>33</v>
      </c>
      <c r="B245" s="9" t="s">
        <v>917</v>
      </c>
      <c r="C245" s="19" t="s">
        <v>928</v>
      </c>
      <c r="D245" s="22" t="s">
        <v>929</v>
      </c>
      <c r="E245" s="19" t="s">
        <v>54</v>
      </c>
      <c r="F245" s="19" t="s">
        <v>335</v>
      </c>
      <c r="G245" s="19" t="s">
        <v>90</v>
      </c>
      <c r="H245" s="22" t="s">
        <v>155</v>
      </c>
      <c r="I245" s="25" t="s">
        <v>930</v>
      </c>
      <c r="J245" s="19" t="s">
        <v>373</v>
      </c>
      <c r="K245" s="19" t="s">
        <v>92</v>
      </c>
      <c r="L245" s="22"/>
      <c r="M245" s="26"/>
      <c r="N245" s="26"/>
      <c r="O245" s="26"/>
      <c r="P245" s="26"/>
      <c r="Q245" s="26"/>
    </row>
    <row r="246" ht="15.75" customHeight="1">
      <c r="A246" s="30" t="s">
        <v>33</v>
      </c>
      <c r="B246" s="9" t="s">
        <v>917</v>
      </c>
      <c r="C246" s="19" t="s">
        <v>182</v>
      </c>
      <c r="D246" s="22" t="s">
        <v>931</v>
      </c>
      <c r="E246" s="19" t="s">
        <v>115</v>
      </c>
      <c r="F246" s="19" t="s">
        <v>335</v>
      </c>
      <c r="G246" s="19" t="s">
        <v>90</v>
      </c>
      <c r="H246" s="24" t="s">
        <v>59</v>
      </c>
      <c r="I246" s="25" t="s">
        <v>932</v>
      </c>
      <c r="J246" s="19" t="s">
        <v>337</v>
      </c>
      <c r="K246" s="19" t="s">
        <v>92</v>
      </c>
      <c r="L246" s="22"/>
      <c r="M246" s="26"/>
      <c r="N246" s="26"/>
      <c r="O246" s="26"/>
      <c r="P246" s="26"/>
      <c r="Q246" s="26"/>
    </row>
    <row r="247" ht="15.75" customHeight="1">
      <c r="A247" s="30" t="s">
        <v>33</v>
      </c>
      <c r="B247" s="9" t="s">
        <v>933</v>
      </c>
      <c r="C247" s="19" t="s">
        <v>192</v>
      </c>
      <c r="D247" s="22" t="s">
        <v>934</v>
      </c>
      <c r="E247" s="19" t="s">
        <v>109</v>
      </c>
      <c r="F247" s="19" t="s">
        <v>858</v>
      </c>
      <c r="G247" s="19" t="s">
        <v>90</v>
      </c>
      <c r="H247" s="24" t="s">
        <v>59</v>
      </c>
      <c r="I247" s="25" t="s">
        <v>935</v>
      </c>
      <c r="J247" s="19" t="s">
        <v>936</v>
      </c>
      <c r="K247" s="19" t="s">
        <v>92</v>
      </c>
      <c r="L247" s="22"/>
      <c r="M247" s="26"/>
      <c r="N247" s="26"/>
      <c r="O247" s="26"/>
      <c r="P247" s="26"/>
      <c r="Q247" s="26"/>
    </row>
    <row r="248" ht="15.75" customHeight="1">
      <c r="A248" s="30" t="s">
        <v>33</v>
      </c>
      <c r="B248" s="9" t="s">
        <v>933</v>
      </c>
      <c r="C248" s="19" t="s">
        <v>192</v>
      </c>
      <c r="D248" s="22" t="s">
        <v>937</v>
      </c>
      <c r="E248" s="19" t="s">
        <v>109</v>
      </c>
      <c r="F248" s="19" t="s">
        <v>858</v>
      </c>
      <c r="G248" s="19" t="s">
        <v>90</v>
      </c>
      <c r="H248" s="24" t="s">
        <v>59</v>
      </c>
      <c r="I248" s="25" t="s">
        <v>938</v>
      </c>
      <c r="J248" s="19" t="s">
        <v>936</v>
      </c>
      <c r="K248" s="19" t="s">
        <v>92</v>
      </c>
      <c r="L248" s="22"/>
      <c r="M248" s="26"/>
      <c r="N248" s="26"/>
      <c r="O248" s="26"/>
      <c r="P248" s="26"/>
      <c r="Q248" s="26"/>
    </row>
    <row r="249" ht="15.75" hidden="1" customHeight="1">
      <c r="A249" s="30" t="s">
        <v>33</v>
      </c>
      <c r="B249" s="9" t="s">
        <v>933</v>
      </c>
      <c r="C249" s="19" t="s">
        <v>329</v>
      </c>
      <c r="D249" s="22" t="s">
        <v>656</v>
      </c>
      <c r="E249" s="19" t="s">
        <v>109</v>
      </c>
      <c r="F249" s="19" t="s">
        <v>939</v>
      </c>
      <c r="G249" s="19" t="s">
        <v>57</v>
      </c>
      <c r="H249" s="24" t="s">
        <v>59</v>
      </c>
      <c r="I249" s="25" t="s">
        <v>940</v>
      </c>
      <c r="J249" s="19" t="s">
        <v>941</v>
      </c>
      <c r="K249" s="19" t="s">
        <v>105</v>
      </c>
      <c r="L249" s="22"/>
      <c r="M249" s="26"/>
      <c r="N249" s="26"/>
      <c r="O249" s="26"/>
      <c r="P249" s="26"/>
      <c r="Q249" s="26"/>
    </row>
    <row r="250" ht="15.75" customHeight="1">
      <c r="A250" s="30" t="s">
        <v>33</v>
      </c>
      <c r="B250" s="9" t="s">
        <v>933</v>
      </c>
      <c r="C250" s="19" t="s">
        <v>827</v>
      </c>
      <c r="D250" s="22" t="s">
        <v>942</v>
      </c>
      <c r="E250" s="19" t="s">
        <v>109</v>
      </c>
      <c r="F250" s="19" t="s">
        <v>943</v>
      </c>
      <c r="G250" s="19" t="s">
        <v>90</v>
      </c>
      <c r="H250" s="24" t="s">
        <v>59</v>
      </c>
      <c r="I250" s="25" t="s">
        <v>944</v>
      </c>
      <c r="J250" s="19" t="s">
        <v>337</v>
      </c>
      <c r="K250" s="19" t="s">
        <v>92</v>
      </c>
      <c r="L250" s="22"/>
      <c r="M250" s="26"/>
      <c r="N250" s="26"/>
      <c r="O250" s="26"/>
      <c r="P250" s="26"/>
      <c r="Q250" s="26"/>
    </row>
    <row r="251" ht="15.75" customHeight="1">
      <c r="A251" s="30" t="s">
        <v>33</v>
      </c>
      <c r="B251" s="9" t="s">
        <v>933</v>
      </c>
      <c r="C251" s="19" t="s">
        <v>827</v>
      </c>
      <c r="D251" s="22" t="s">
        <v>942</v>
      </c>
      <c r="E251" s="19" t="s">
        <v>109</v>
      </c>
      <c r="F251" s="19" t="s">
        <v>945</v>
      </c>
      <c r="G251" s="19" t="s">
        <v>90</v>
      </c>
      <c r="H251" s="24" t="s">
        <v>59</v>
      </c>
      <c r="I251" s="25" t="s">
        <v>944</v>
      </c>
      <c r="J251" s="19"/>
      <c r="K251" s="19" t="s">
        <v>112</v>
      </c>
      <c r="L251" s="22"/>
      <c r="M251" s="26"/>
      <c r="N251" s="26"/>
      <c r="O251" s="26"/>
      <c r="P251" s="26"/>
      <c r="Q251" s="26"/>
    </row>
    <row r="252" ht="15.75" customHeight="1">
      <c r="A252" s="30" t="s">
        <v>33</v>
      </c>
      <c r="B252" s="9" t="s">
        <v>933</v>
      </c>
      <c r="C252" s="19" t="s">
        <v>183</v>
      </c>
      <c r="D252" s="22" t="s">
        <v>946</v>
      </c>
      <c r="E252" s="19" t="s">
        <v>109</v>
      </c>
      <c r="F252" s="19" t="s">
        <v>302</v>
      </c>
      <c r="G252" s="19" t="s">
        <v>90</v>
      </c>
      <c r="H252" s="24" t="s">
        <v>59</v>
      </c>
      <c r="I252" s="25" t="s">
        <v>947</v>
      </c>
      <c r="J252" s="19" t="s">
        <v>95</v>
      </c>
      <c r="K252" s="19" t="s">
        <v>52</v>
      </c>
      <c r="L252" s="22" t="s">
        <v>948</v>
      </c>
      <c r="M252" s="26"/>
      <c r="N252" s="26"/>
      <c r="O252" s="26"/>
      <c r="P252" s="26"/>
      <c r="Q252" s="26"/>
    </row>
    <row r="253" ht="15.75" customHeight="1">
      <c r="A253" s="30" t="s">
        <v>33</v>
      </c>
      <c r="B253" s="9" t="s">
        <v>933</v>
      </c>
      <c r="C253" s="19" t="s">
        <v>179</v>
      </c>
      <c r="D253" s="22" t="s">
        <v>949</v>
      </c>
      <c r="E253" s="19" t="s">
        <v>109</v>
      </c>
      <c r="F253" s="19" t="s">
        <v>868</v>
      </c>
      <c r="G253" s="19" t="s">
        <v>90</v>
      </c>
      <c r="H253" s="24" t="s">
        <v>59</v>
      </c>
      <c r="I253" s="25" t="s">
        <v>950</v>
      </c>
      <c r="J253" s="19"/>
      <c r="K253" s="19" t="s">
        <v>114</v>
      </c>
      <c r="L253" s="22"/>
      <c r="M253" s="26"/>
      <c r="N253" s="26"/>
      <c r="O253" s="26"/>
      <c r="P253" s="26"/>
      <c r="Q253" s="26"/>
    </row>
    <row r="254" ht="15.75" customHeight="1">
      <c r="A254" s="30" t="s">
        <v>33</v>
      </c>
      <c r="B254" s="9" t="s">
        <v>933</v>
      </c>
      <c r="C254" s="19" t="s">
        <v>179</v>
      </c>
      <c r="D254" s="22" t="s">
        <v>951</v>
      </c>
      <c r="E254" s="19" t="s">
        <v>109</v>
      </c>
      <c r="F254" s="19" t="s">
        <v>952</v>
      </c>
      <c r="G254" s="19" t="s">
        <v>90</v>
      </c>
      <c r="H254" s="24" t="s">
        <v>59</v>
      </c>
      <c r="I254" s="25" t="s">
        <v>953</v>
      </c>
      <c r="J254" s="19"/>
      <c r="K254" s="19" t="s">
        <v>112</v>
      </c>
      <c r="L254" s="22"/>
      <c r="M254" s="26"/>
      <c r="N254" s="26"/>
      <c r="O254" s="26"/>
      <c r="P254" s="26"/>
      <c r="Q254" s="26"/>
    </row>
    <row r="255" ht="15.75" customHeight="1">
      <c r="A255" s="30" t="s">
        <v>33</v>
      </c>
      <c r="B255" s="9" t="s">
        <v>933</v>
      </c>
      <c r="C255" s="19" t="s">
        <v>84</v>
      </c>
      <c r="D255" s="22" t="s">
        <v>954</v>
      </c>
      <c r="E255" s="19" t="s">
        <v>109</v>
      </c>
      <c r="F255" s="19" t="s">
        <v>89</v>
      </c>
      <c r="G255" s="19" t="s">
        <v>90</v>
      </c>
      <c r="H255" s="24" t="s">
        <v>59</v>
      </c>
      <c r="I255" s="25" t="s">
        <v>955</v>
      </c>
      <c r="J255" s="19"/>
      <c r="K255" s="19" t="s">
        <v>215</v>
      </c>
      <c r="L255" s="22" t="s">
        <v>956</v>
      </c>
      <c r="M255" s="26"/>
      <c r="N255" s="26"/>
      <c r="O255" s="26"/>
      <c r="P255" s="26"/>
      <c r="Q255" s="26"/>
    </row>
    <row r="256" ht="15.75" customHeight="1">
      <c r="A256" s="30" t="s">
        <v>33</v>
      </c>
      <c r="B256" s="9" t="s">
        <v>933</v>
      </c>
      <c r="C256" s="19" t="s">
        <v>84</v>
      </c>
      <c r="D256" s="22" t="s">
        <v>957</v>
      </c>
      <c r="E256" s="19" t="s">
        <v>109</v>
      </c>
      <c r="F256" s="19" t="s">
        <v>89</v>
      </c>
      <c r="G256" s="19" t="s">
        <v>90</v>
      </c>
      <c r="H256" s="24" t="s">
        <v>59</v>
      </c>
      <c r="I256" s="25" t="s">
        <v>958</v>
      </c>
      <c r="J256" s="19" t="s">
        <v>95</v>
      </c>
      <c r="K256" s="19" t="s">
        <v>52</v>
      </c>
      <c r="L256" s="22"/>
      <c r="M256" s="26"/>
      <c r="N256" s="26"/>
      <c r="O256" s="26"/>
      <c r="P256" s="26"/>
      <c r="Q256" s="26"/>
    </row>
    <row r="257" ht="15.75" customHeight="1">
      <c r="A257" s="30" t="s">
        <v>33</v>
      </c>
      <c r="B257" s="9" t="s">
        <v>933</v>
      </c>
      <c r="C257" s="19" t="s">
        <v>84</v>
      </c>
      <c r="D257" s="22" t="s">
        <v>959</v>
      </c>
      <c r="E257" s="19" t="s">
        <v>109</v>
      </c>
      <c r="F257" s="19" t="s">
        <v>89</v>
      </c>
      <c r="G257" s="19" t="s">
        <v>90</v>
      </c>
      <c r="H257" s="24" t="s">
        <v>59</v>
      </c>
      <c r="I257" s="25" t="s">
        <v>960</v>
      </c>
      <c r="J257" s="19" t="s">
        <v>456</v>
      </c>
      <c r="K257" s="19" t="s">
        <v>52</v>
      </c>
      <c r="L257" s="22"/>
      <c r="M257" s="26"/>
      <c r="N257" s="26"/>
      <c r="O257" s="26"/>
      <c r="P257" s="26"/>
      <c r="Q257" s="26"/>
    </row>
    <row r="258" ht="15.75" customHeight="1">
      <c r="A258" s="30" t="s">
        <v>33</v>
      </c>
      <c r="B258" s="9" t="s">
        <v>933</v>
      </c>
      <c r="C258" s="19" t="s">
        <v>84</v>
      </c>
      <c r="D258" s="22" t="s">
        <v>961</v>
      </c>
      <c r="E258" s="19" t="s">
        <v>109</v>
      </c>
      <c r="F258" s="19" t="s">
        <v>89</v>
      </c>
      <c r="G258" s="19" t="s">
        <v>90</v>
      </c>
      <c r="H258" s="24" t="s">
        <v>59</v>
      </c>
      <c r="I258" s="25" t="s">
        <v>962</v>
      </c>
      <c r="J258" s="19" t="s">
        <v>95</v>
      </c>
      <c r="K258" s="19" t="s">
        <v>52</v>
      </c>
      <c r="L258" s="22"/>
      <c r="M258" s="26"/>
      <c r="N258" s="26"/>
      <c r="O258" s="26"/>
      <c r="P258" s="26"/>
      <c r="Q258" s="26"/>
    </row>
    <row r="259" ht="15.75" customHeight="1">
      <c r="A259" s="30" t="s">
        <v>33</v>
      </c>
      <c r="B259" s="9" t="s">
        <v>933</v>
      </c>
      <c r="C259" s="19" t="s">
        <v>84</v>
      </c>
      <c r="D259" s="22" t="s">
        <v>963</v>
      </c>
      <c r="E259" s="19" t="s">
        <v>109</v>
      </c>
      <c r="F259" s="19" t="s">
        <v>89</v>
      </c>
      <c r="G259" s="19" t="s">
        <v>90</v>
      </c>
      <c r="H259" s="24" t="s">
        <v>59</v>
      </c>
      <c r="I259" s="25" t="s">
        <v>964</v>
      </c>
      <c r="J259" s="19" t="s">
        <v>319</v>
      </c>
      <c r="K259" s="19" t="s">
        <v>52</v>
      </c>
      <c r="L259" s="22"/>
      <c r="M259" s="26"/>
      <c r="N259" s="26"/>
      <c r="O259" s="26"/>
      <c r="P259" s="26"/>
      <c r="Q259" s="26"/>
    </row>
    <row r="260" ht="15.75" customHeight="1">
      <c r="A260" s="30" t="s">
        <v>33</v>
      </c>
      <c r="B260" s="9" t="s">
        <v>933</v>
      </c>
      <c r="C260" s="19" t="s">
        <v>84</v>
      </c>
      <c r="D260" s="22" t="s">
        <v>963</v>
      </c>
      <c r="E260" s="19" t="s">
        <v>109</v>
      </c>
      <c r="F260" s="19" t="s">
        <v>103</v>
      </c>
      <c r="G260" s="19" t="s">
        <v>90</v>
      </c>
      <c r="H260" s="24" t="s">
        <v>59</v>
      </c>
      <c r="I260" s="25" t="s">
        <v>965</v>
      </c>
      <c r="J260" s="19" t="s">
        <v>319</v>
      </c>
      <c r="K260" s="19" t="s">
        <v>52</v>
      </c>
      <c r="L260" s="22"/>
      <c r="M260" s="26"/>
      <c r="N260" s="26"/>
      <c r="O260" s="26"/>
      <c r="P260" s="26"/>
      <c r="Q260" s="26"/>
    </row>
    <row r="261" ht="15.75" customHeight="1">
      <c r="A261" s="30" t="s">
        <v>33</v>
      </c>
      <c r="B261" s="9" t="s">
        <v>933</v>
      </c>
      <c r="C261" s="19" t="s">
        <v>84</v>
      </c>
      <c r="D261" s="22" t="s">
        <v>966</v>
      </c>
      <c r="E261" s="19" t="s">
        <v>109</v>
      </c>
      <c r="F261" s="19" t="s">
        <v>89</v>
      </c>
      <c r="G261" s="19" t="s">
        <v>90</v>
      </c>
      <c r="H261" s="24" t="s">
        <v>59</v>
      </c>
      <c r="I261" s="25" t="s">
        <v>967</v>
      </c>
      <c r="J261" s="19" t="s">
        <v>95</v>
      </c>
      <c r="K261" s="19" t="s">
        <v>52</v>
      </c>
      <c r="L261" s="22"/>
      <c r="M261" s="26"/>
      <c r="N261" s="26"/>
      <c r="O261" s="26"/>
      <c r="P261" s="26"/>
      <c r="Q261" s="26"/>
    </row>
    <row r="262" ht="15.75" customHeight="1">
      <c r="A262" s="30" t="s">
        <v>33</v>
      </c>
      <c r="B262" s="9" t="s">
        <v>933</v>
      </c>
      <c r="C262" s="19" t="s">
        <v>84</v>
      </c>
      <c r="D262" s="22" t="s">
        <v>968</v>
      </c>
      <c r="E262" s="19" t="s">
        <v>109</v>
      </c>
      <c r="F262" s="19" t="s">
        <v>89</v>
      </c>
      <c r="G262" s="19" t="s">
        <v>90</v>
      </c>
      <c r="H262" s="24" t="s">
        <v>59</v>
      </c>
      <c r="I262" s="25" t="s">
        <v>969</v>
      </c>
      <c r="J262" s="19" t="s">
        <v>319</v>
      </c>
      <c r="K262" s="19" t="s">
        <v>52</v>
      </c>
      <c r="L262" s="22"/>
      <c r="M262" s="26"/>
      <c r="N262" s="26"/>
      <c r="O262" s="26"/>
      <c r="P262" s="26"/>
      <c r="Q262" s="26"/>
    </row>
    <row r="263" ht="15.75" customHeight="1">
      <c r="A263" s="30" t="s">
        <v>33</v>
      </c>
      <c r="B263" s="9" t="s">
        <v>933</v>
      </c>
      <c r="C263" s="19" t="s">
        <v>84</v>
      </c>
      <c r="D263" s="22" t="s">
        <v>970</v>
      </c>
      <c r="E263" s="19" t="s">
        <v>109</v>
      </c>
      <c r="F263" s="19" t="s">
        <v>89</v>
      </c>
      <c r="G263" s="19" t="s">
        <v>90</v>
      </c>
      <c r="H263" s="24" t="s">
        <v>59</v>
      </c>
      <c r="I263" s="25" t="s">
        <v>971</v>
      </c>
      <c r="J263" s="19" t="s">
        <v>319</v>
      </c>
      <c r="K263" s="19" t="s">
        <v>52</v>
      </c>
      <c r="L263" s="22"/>
      <c r="M263" s="26"/>
      <c r="N263" s="26"/>
      <c r="O263" s="26"/>
      <c r="P263" s="26"/>
      <c r="Q263" s="26"/>
    </row>
    <row r="264" ht="15.75" customHeight="1">
      <c r="A264" s="30" t="s">
        <v>33</v>
      </c>
      <c r="B264" s="9" t="s">
        <v>933</v>
      </c>
      <c r="C264" s="19" t="s">
        <v>84</v>
      </c>
      <c r="D264" s="22" t="s">
        <v>972</v>
      </c>
      <c r="E264" s="19" t="s">
        <v>109</v>
      </c>
      <c r="F264" s="19" t="s">
        <v>89</v>
      </c>
      <c r="G264" s="19" t="s">
        <v>90</v>
      </c>
      <c r="H264" s="24" t="s">
        <v>59</v>
      </c>
      <c r="I264" s="25" t="s">
        <v>973</v>
      </c>
      <c r="J264" s="19" t="s">
        <v>319</v>
      </c>
      <c r="K264" s="19" t="s">
        <v>92</v>
      </c>
      <c r="L264" s="22"/>
      <c r="M264" s="26"/>
      <c r="N264" s="26"/>
      <c r="O264" s="26"/>
      <c r="P264" s="26"/>
      <c r="Q264" s="26"/>
    </row>
    <row r="265" ht="15.75" customHeight="1">
      <c r="A265" s="30" t="s">
        <v>33</v>
      </c>
      <c r="B265" s="9" t="s">
        <v>933</v>
      </c>
      <c r="C265" s="19" t="s">
        <v>84</v>
      </c>
      <c r="D265" s="22" t="s">
        <v>974</v>
      </c>
      <c r="E265" s="19" t="s">
        <v>109</v>
      </c>
      <c r="F265" s="19" t="s">
        <v>89</v>
      </c>
      <c r="G265" s="19" t="s">
        <v>90</v>
      </c>
      <c r="H265" s="24" t="s">
        <v>59</v>
      </c>
      <c r="I265" s="25" t="s">
        <v>975</v>
      </c>
      <c r="J265" s="19" t="s">
        <v>319</v>
      </c>
      <c r="K265" s="19" t="s">
        <v>52</v>
      </c>
      <c r="L265" s="22"/>
      <c r="M265" s="26"/>
      <c r="N265" s="26"/>
      <c r="O265" s="26"/>
      <c r="P265" s="26"/>
      <c r="Q265" s="26"/>
    </row>
    <row r="266" ht="15.75" customHeight="1">
      <c r="A266" s="30" t="s">
        <v>33</v>
      </c>
      <c r="B266" s="9" t="s">
        <v>933</v>
      </c>
      <c r="C266" s="19" t="s">
        <v>84</v>
      </c>
      <c r="D266" s="22" t="s">
        <v>976</v>
      </c>
      <c r="E266" s="19" t="s">
        <v>109</v>
      </c>
      <c r="F266" s="19" t="s">
        <v>89</v>
      </c>
      <c r="G266" s="19" t="s">
        <v>90</v>
      </c>
      <c r="H266" s="24" t="s">
        <v>59</v>
      </c>
      <c r="I266" s="25" t="s">
        <v>977</v>
      </c>
      <c r="J266" s="19" t="s">
        <v>95</v>
      </c>
      <c r="K266" s="19" t="s">
        <v>52</v>
      </c>
      <c r="L266" s="22"/>
      <c r="M266" s="26"/>
      <c r="N266" s="26"/>
      <c r="O266" s="26"/>
      <c r="P266" s="26"/>
      <c r="Q266" s="26"/>
    </row>
    <row r="267" ht="15.75" customHeight="1">
      <c r="A267" s="30" t="s">
        <v>33</v>
      </c>
      <c r="B267" s="9" t="s">
        <v>933</v>
      </c>
      <c r="C267" s="19" t="s">
        <v>84</v>
      </c>
      <c r="D267" s="22" t="s">
        <v>978</v>
      </c>
      <c r="E267" s="19" t="s">
        <v>109</v>
      </c>
      <c r="F267" s="19" t="s">
        <v>89</v>
      </c>
      <c r="G267" s="19" t="s">
        <v>90</v>
      </c>
      <c r="H267" s="24" t="s">
        <v>59</v>
      </c>
      <c r="I267" s="25" t="s">
        <v>979</v>
      </c>
      <c r="J267" s="19" t="s">
        <v>319</v>
      </c>
      <c r="K267" s="19" t="s">
        <v>92</v>
      </c>
      <c r="L267" s="22"/>
      <c r="M267" s="26"/>
      <c r="N267" s="26"/>
      <c r="O267" s="26"/>
      <c r="P267" s="26"/>
      <c r="Q267" s="26"/>
    </row>
    <row r="268" ht="15.75" customHeight="1">
      <c r="A268" s="30" t="s">
        <v>33</v>
      </c>
      <c r="B268" s="9" t="s">
        <v>933</v>
      </c>
      <c r="C268" s="19" t="s">
        <v>84</v>
      </c>
      <c r="D268" s="22" t="s">
        <v>980</v>
      </c>
      <c r="E268" s="19" t="s">
        <v>109</v>
      </c>
      <c r="F268" s="19" t="s">
        <v>89</v>
      </c>
      <c r="G268" s="19" t="s">
        <v>90</v>
      </c>
      <c r="H268" s="24" t="s">
        <v>59</v>
      </c>
      <c r="I268" s="25" t="s">
        <v>981</v>
      </c>
      <c r="J268" s="19" t="s">
        <v>982</v>
      </c>
      <c r="K268" s="19" t="s">
        <v>78</v>
      </c>
      <c r="L268" s="22"/>
      <c r="M268" s="26"/>
      <c r="N268" s="26"/>
      <c r="O268" s="26"/>
      <c r="P268" s="26"/>
      <c r="Q268" s="26"/>
    </row>
    <row r="269" ht="15.75" customHeight="1">
      <c r="A269" s="30" t="s">
        <v>33</v>
      </c>
      <c r="B269" s="9" t="s">
        <v>933</v>
      </c>
      <c r="C269" s="19" t="s">
        <v>84</v>
      </c>
      <c r="D269" s="22" t="s">
        <v>983</v>
      </c>
      <c r="E269" s="19" t="s">
        <v>109</v>
      </c>
      <c r="F269" s="19" t="s">
        <v>89</v>
      </c>
      <c r="G269" s="19" t="s">
        <v>90</v>
      </c>
      <c r="H269" s="24" t="s">
        <v>59</v>
      </c>
      <c r="I269" s="25" t="s">
        <v>984</v>
      </c>
      <c r="J269" s="19" t="s">
        <v>490</v>
      </c>
      <c r="K269" s="19" t="s">
        <v>78</v>
      </c>
      <c r="L269" s="22"/>
      <c r="M269" s="26"/>
      <c r="N269" s="26"/>
      <c r="O269" s="26"/>
      <c r="P269" s="26"/>
      <c r="Q269" s="26"/>
    </row>
    <row r="270" ht="15.75" customHeight="1">
      <c r="A270" s="30" t="s">
        <v>33</v>
      </c>
      <c r="B270" s="9" t="s">
        <v>933</v>
      </c>
      <c r="C270" s="19" t="s">
        <v>84</v>
      </c>
      <c r="D270" s="22" t="s">
        <v>983</v>
      </c>
      <c r="E270" s="19" t="s">
        <v>109</v>
      </c>
      <c r="F270" s="19" t="s">
        <v>103</v>
      </c>
      <c r="G270" s="19" t="s">
        <v>90</v>
      </c>
      <c r="H270" s="24" t="s">
        <v>59</v>
      </c>
      <c r="I270" s="25" t="s">
        <v>985</v>
      </c>
      <c r="J270" s="19" t="s">
        <v>490</v>
      </c>
      <c r="K270" s="19" t="s">
        <v>78</v>
      </c>
      <c r="L270" s="22"/>
      <c r="M270" s="26"/>
      <c r="N270" s="26"/>
      <c r="O270" s="26"/>
      <c r="P270" s="26"/>
      <c r="Q270" s="26"/>
    </row>
    <row r="271" ht="15.75" customHeight="1">
      <c r="A271" s="30" t="s">
        <v>33</v>
      </c>
      <c r="B271" s="9" t="s">
        <v>933</v>
      </c>
      <c r="C271" s="19" t="s">
        <v>84</v>
      </c>
      <c r="D271" s="22" t="s">
        <v>656</v>
      </c>
      <c r="E271" s="19" t="s">
        <v>109</v>
      </c>
      <c r="F271" s="19" t="s">
        <v>103</v>
      </c>
      <c r="G271" s="19" t="s">
        <v>90</v>
      </c>
      <c r="H271" s="24" t="s">
        <v>59</v>
      </c>
      <c r="I271" s="25" t="s">
        <v>986</v>
      </c>
      <c r="J271" s="19" t="s">
        <v>95</v>
      </c>
      <c r="K271" s="19" t="s">
        <v>52</v>
      </c>
      <c r="L271" s="22"/>
      <c r="M271" s="26"/>
      <c r="N271" s="26"/>
      <c r="O271" s="26"/>
      <c r="P271" s="26"/>
      <c r="Q271" s="26"/>
    </row>
    <row r="272" ht="15.75" customHeight="1">
      <c r="A272" s="30" t="s">
        <v>33</v>
      </c>
      <c r="B272" s="9" t="s">
        <v>933</v>
      </c>
      <c r="C272" s="19" t="s">
        <v>84</v>
      </c>
      <c r="D272" s="22" t="s">
        <v>656</v>
      </c>
      <c r="E272" s="19" t="s">
        <v>109</v>
      </c>
      <c r="F272" s="19" t="s">
        <v>89</v>
      </c>
      <c r="G272" s="19" t="s">
        <v>90</v>
      </c>
      <c r="H272" s="24" t="s">
        <v>59</v>
      </c>
      <c r="I272" s="25" t="s">
        <v>987</v>
      </c>
      <c r="J272" s="19" t="s">
        <v>456</v>
      </c>
      <c r="K272" s="19" t="s">
        <v>114</v>
      </c>
      <c r="L272" s="22"/>
      <c r="M272" s="26"/>
      <c r="N272" s="26"/>
      <c r="O272" s="26"/>
      <c r="P272" s="26"/>
      <c r="Q272" s="26"/>
    </row>
    <row r="273" ht="15.75" customHeight="1">
      <c r="A273" s="30" t="s">
        <v>33</v>
      </c>
      <c r="B273" s="9" t="s">
        <v>933</v>
      </c>
      <c r="C273" s="19" t="s">
        <v>84</v>
      </c>
      <c r="D273" s="22" t="s">
        <v>988</v>
      </c>
      <c r="E273" s="19" t="s">
        <v>109</v>
      </c>
      <c r="F273" s="19" t="s">
        <v>89</v>
      </c>
      <c r="G273" s="19" t="s">
        <v>90</v>
      </c>
      <c r="H273" s="24" t="s">
        <v>59</v>
      </c>
      <c r="I273" s="25" t="s">
        <v>989</v>
      </c>
      <c r="J273" s="19" t="s">
        <v>319</v>
      </c>
      <c r="K273" s="19" t="s">
        <v>52</v>
      </c>
      <c r="L273" s="22"/>
      <c r="M273" s="26"/>
      <c r="N273" s="26"/>
      <c r="O273" s="26"/>
      <c r="P273" s="26"/>
      <c r="Q273" s="26"/>
    </row>
    <row r="274" ht="15.75" customHeight="1">
      <c r="A274" s="30" t="s">
        <v>33</v>
      </c>
      <c r="B274" s="9" t="s">
        <v>933</v>
      </c>
      <c r="C274" s="19" t="s">
        <v>84</v>
      </c>
      <c r="D274" s="22" t="s">
        <v>990</v>
      </c>
      <c r="E274" s="19" t="s">
        <v>109</v>
      </c>
      <c r="F274" s="19" t="s">
        <v>89</v>
      </c>
      <c r="G274" s="19" t="s">
        <v>90</v>
      </c>
      <c r="H274" s="24" t="s">
        <v>59</v>
      </c>
      <c r="I274" s="25" t="s">
        <v>991</v>
      </c>
      <c r="J274" s="19" t="s">
        <v>95</v>
      </c>
      <c r="K274" s="19" t="s">
        <v>52</v>
      </c>
      <c r="L274" s="22"/>
      <c r="M274" s="26"/>
      <c r="N274" s="26"/>
      <c r="O274" s="26"/>
      <c r="P274" s="26"/>
      <c r="Q274" s="26"/>
    </row>
    <row r="275" ht="15.75" customHeight="1">
      <c r="A275" s="30" t="s">
        <v>33</v>
      </c>
      <c r="B275" s="9" t="s">
        <v>933</v>
      </c>
      <c r="C275" s="19" t="s">
        <v>84</v>
      </c>
      <c r="D275" s="22" t="s">
        <v>992</v>
      </c>
      <c r="E275" s="19" t="s">
        <v>109</v>
      </c>
      <c r="F275" s="19" t="s">
        <v>89</v>
      </c>
      <c r="G275" s="19" t="s">
        <v>90</v>
      </c>
      <c r="H275" s="24" t="s">
        <v>59</v>
      </c>
      <c r="I275" s="25" t="s">
        <v>993</v>
      </c>
      <c r="J275" s="19" t="s">
        <v>95</v>
      </c>
      <c r="K275" s="19" t="s">
        <v>52</v>
      </c>
      <c r="L275" s="22"/>
      <c r="M275" s="26"/>
      <c r="N275" s="26"/>
      <c r="O275" s="26"/>
      <c r="P275" s="26"/>
      <c r="Q275" s="26"/>
    </row>
    <row r="276" ht="15.75" customHeight="1">
      <c r="A276" s="30" t="s">
        <v>33</v>
      </c>
      <c r="B276" s="9" t="s">
        <v>933</v>
      </c>
      <c r="C276" s="19" t="s">
        <v>84</v>
      </c>
      <c r="D276" s="22" t="s">
        <v>994</v>
      </c>
      <c r="E276" s="19" t="s">
        <v>109</v>
      </c>
      <c r="F276" s="19" t="s">
        <v>103</v>
      </c>
      <c r="G276" s="19" t="s">
        <v>90</v>
      </c>
      <c r="H276" s="24" t="s">
        <v>59</v>
      </c>
      <c r="I276" s="25" t="s">
        <v>995</v>
      </c>
      <c r="J276" s="19" t="s">
        <v>95</v>
      </c>
      <c r="K276" s="19" t="s">
        <v>52</v>
      </c>
      <c r="L276" s="22"/>
      <c r="M276" s="26"/>
      <c r="N276" s="26"/>
      <c r="O276" s="26"/>
      <c r="P276" s="26"/>
      <c r="Q276" s="26"/>
    </row>
    <row r="277" ht="15.75" customHeight="1">
      <c r="A277" s="30" t="s">
        <v>33</v>
      </c>
      <c r="B277" s="9" t="s">
        <v>933</v>
      </c>
      <c r="C277" s="19" t="s">
        <v>84</v>
      </c>
      <c r="D277" s="22" t="s">
        <v>996</v>
      </c>
      <c r="E277" s="19" t="s">
        <v>109</v>
      </c>
      <c r="F277" s="19" t="s">
        <v>89</v>
      </c>
      <c r="G277" s="19" t="s">
        <v>90</v>
      </c>
      <c r="H277" s="24" t="s">
        <v>59</v>
      </c>
      <c r="I277" s="25" t="s">
        <v>997</v>
      </c>
      <c r="J277" s="19" t="s">
        <v>95</v>
      </c>
      <c r="K277" s="19" t="s">
        <v>52</v>
      </c>
      <c r="L277" s="22"/>
      <c r="M277" s="26"/>
      <c r="N277" s="26"/>
      <c r="O277" s="26"/>
      <c r="P277" s="26"/>
      <c r="Q277" s="26"/>
    </row>
    <row r="278" ht="15.75" customHeight="1">
      <c r="A278" s="30" t="s">
        <v>33</v>
      </c>
      <c r="B278" s="9" t="s">
        <v>933</v>
      </c>
      <c r="C278" s="19" t="s">
        <v>84</v>
      </c>
      <c r="D278" s="22" t="s">
        <v>998</v>
      </c>
      <c r="E278" s="19" t="s">
        <v>109</v>
      </c>
      <c r="F278" s="19" t="s">
        <v>89</v>
      </c>
      <c r="G278" s="19" t="s">
        <v>90</v>
      </c>
      <c r="H278" s="24" t="s">
        <v>59</v>
      </c>
      <c r="I278" s="25" t="s">
        <v>999</v>
      </c>
      <c r="J278" s="19" t="s">
        <v>140</v>
      </c>
      <c r="K278" s="19" t="s">
        <v>114</v>
      </c>
      <c r="L278" s="22"/>
      <c r="M278" s="26"/>
      <c r="N278" s="26"/>
      <c r="O278" s="26"/>
      <c r="P278" s="26"/>
      <c r="Q278" s="26"/>
    </row>
    <row r="279" ht="15.75" customHeight="1">
      <c r="A279" s="30" t="s">
        <v>33</v>
      </c>
      <c r="B279" s="9" t="s">
        <v>933</v>
      </c>
      <c r="C279" s="19" t="s">
        <v>84</v>
      </c>
      <c r="D279" s="22" t="s">
        <v>1000</v>
      </c>
      <c r="E279" s="19" t="s">
        <v>109</v>
      </c>
      <c r="F279" s="19" t="s">
        <v>89</v>
      </c>
      <c r="G279" s="19" t="s">
        <v>90</v>
      </c>
      <c r="H279" s="24" t="s">
        <v>59</v>
      </c>
      <c r="I279" s="25" t="s">
        <v>1001</v>
      </c>
      <c r="J279" s="19" t="s">
        <v>319</v>
      </c>
      <c r="K279" s="19" t="s">
        <v>52</v>
      </c>
      <c r="L279" s="22"/>
      <c r="M279" s="26"/>
      <c r="N279" s="26"/>
      <c r="O279" s="26"/>
      <c r="P279" s="26"/>
      <c r="Q279" s="26"/>
    </row>
    <row r="280" ht="15.75" customHeight="1">
      <c r="A280" s="30" t="s">
        <v>33</v>
      </c>
      <c r="B280" s="9" t="s">
        <v>933</v>
      </c>
      <c r="C280" s="19" t="s">
        <v>84</v>
      </c>
      <c r="D280" s="22" t="s">
        <v>1002</v>
      </c>
      <c r="E280" s="19" t="s">
        <v>109</v>
      </c>
      <c r="F280" s="19" t="s">
        <v>89</v>
      </c>
      <c r="G280" s="19" t="s">
        <v>90</v>
      </c>
      <c r="H280" s="24" t="s">
        <v>59</v>
      </c>
      <c r="I280" s="25" t="s">
        <v>1003</v>
      </c>
      <c r="J280" s="19" t="s">
        <v>140</v>
      </c>
      <c r="K280" s="19" t="s">
        <v>114</v>
      </c>
      <c r="L280" s="22"/>
      <c r="M280" s="26"/>
      <c r="N280" s="26"/>
      <c r="O280" s="26"/>
      <c r="P280" s="26"/>
      <c r="Q280" s="26"/>
    </row>
    <row r="281" ht="15.75" customHeight="1">
      <c r="A281" s="30" t="s">
        <v>33</v>
      </c>
      <c r="B281" s="9" t="s">
        <v>933</v>
      </c>
      <c r="C281" s="19" t="s">
        <v>84</v>
      </c>
      <c r="D281" s="22" t="s">
        <v>1004</v>
      </c>
      <c r="E281" s="19" t="s">
        <v>109</v>
      </c>
      <c r="F281" s="19" t="s">
        <v>89</v>
      </c>
      <c r="G281" s="19" t="s">
        <v>90</v>
      </c>
      <c r="H281" s="24" t="s">
        <v>59</v>
      </c>
      <c r="I281" s="25" t="s">
        <v>1005</v>
      </c>
      <c r="J281" s="19" t="s">
        <v>95</v>
      </c>
      <c r="K281" s="19" t="s">
        <v>52</v>
      </c>
      <c r="L281" s="22"/>
      <c r="M281" s="26"/>
      <c r="N281" s="26"/>
      <c r="O281" s="26"/>
      <c r="P281" s="26"/>
      <c r="Q281" s="26"/>
    </row>
    <row r="282" ht="15.75" customHeight="1">
      <c r="A282" s="30" t="s">
        <v>33</v>
      </c>
      <c r="B282" s="9" t="s">
        <v>933</v>
      </c>
      <c r="C282" s="19" t="s">
        <v>84</v>
      </c>
      <c r="D282" s="22" t="s">
        <v>1006</v>
      </c>
      <c r="E282" s="19" t="s">
        <v>109</v>
      </c>
      <c r="F282" s="19" t="s">
        <v>89</v>
      </c>
      <c r="G282" s="19" t="s">
        <v>90</v>
      </c>
      <c r="H282" s="24" t="s">
        <v>59</v>
      </c>
      <c r="I282" s="25" t="s">
        <v>1007</v>
      </c>
      <c r="J282" s="19" t="s">
        <v>319</v>
      </c>
      <c r="K282" s="19" t="s">
        <v>52</v>
      </c>
      <c r="L282" s="22"/>
      <c r="M282" s="26"/>
      <c r="N282" s="26"/>
      <c r="O282" s="26"/>
      <c r="P282" s="26"/>
      <c r="Q282" s="26"/>
    </row>
    <row r="283" ht="15.75" customHeight="1">
      <c r="A283" s="30" t="s">
        <v>33</v>
      </c>
      <c r="B283" s="9" t="s">
        <v>933</v>
      </c>
      <c r="C283" s="19" t="s">
        <v>84</v>
      </c>
      <c r="D283" s="22" t="s">
        <v>1008</v>
      </c>
      <c r="E283" s="19" t="s">
        <v>109</v>
      </c>
      <c r="F283" s="19" t="s">
        <v>103</v>
      </c>
      <c r="G283" s="19" t="s">
        <v>90</v>
      </c>
      <c r="H283" s="24" t="s">
        <v>59</v>
      </c>
      <c r="I283" s="25" t="s">
        <v>1009</v>
      </c>
      <c r="J283" s="19" t="s">
        <v>95</v>
      </c>
      <c r="K283" s="19" t="s">
        <v>52</v>
      </c>
      <c r="L283" s="22"/>
      <c r="M283" s="26"/>
      <c r="N283" s="26"/>
      <c r="O283" s="26"/>
      <c r="P283" s="26"/>
      <c r="Q283" s="26"/>
    </row>
    <row r="284" ht="15.75" customHeight="1">
      <c r="A284" s="30" t="s">
        <v>33</v>
      </c>
      <c r="B284" s="9" t="s">
        <v>933</v>
      </c>
      <c r="C284" s="19" t="s">
        <v>84</v>
      </c>
      <c r="D284" s="22" t="s">
        <v>1010</v>
      </c>
      <c r="E284" s="19" t="s">
        <v>109</v>
      </c>
      <c r="F284" s="19" t="s">
        <v>89</v>
      </c>
      <c r="G284" s="19" t="s">
        <v>90</v>
      </c>
      <c r="H284" s="24" t="s">
        <v>59</v>
      </c>
      <c r="I284" s="25" t="s">
        <v>1011</v>
      </c>
      <c r="J284" s="19" t="s">
        <v>319</v>
      </c>
      <c r="K284" s="19" t="s">
        <v>92</v>
      </c>
      <c r="L284" s="22"/>
      <c r="M284" s="26"/>
      <c r="N284" s="26"/>
      <c r="O284" s="26"/>
      <c r="P284" s="26"/>
      <c r="Q284" s="26"/>
    </row>
    <row r="285" ht="15.75" customHeight="1">
      <c r="A285" s="30" t="s">
        <v>33</v>
      </c>
      <c r="B285" s="9" t="s">
        <v>933</v>
      </c>
      <c r="C285" s="19" t="s">
        <v>84</v>
      </c>
      <c r="D285" s="22" t="s">
        <v>1012</v>
      </c>
      <c r="E285" s="19" t="s">
        <v>109</v>
      </c>
      <c r="F285" s="19" t="s">
        <v>103</v>
      </c>
      <c r="G285" s="19" t="s">
        <v>90</v>
      </c>
      <c r="H285" s="24" t="s">
        <v>59</v>
      </c>
      <c r="I285" s="25" t="s">
        <v>1013</v>
      </c>
      <c r="J285" s="19" t="s">
        <v>319</v>
      </c>
      <c r="K285" s="19" t="s">
        <v>92</v>
      </c>
      <c r="L285" s="22"/>
      <c r="M285" s="26"/>
      <c r="N285" s="26"/>
      <c r="O285" s="26"/>
      <c r="P285" s="26"/>
      <c r="Q285" s="26"/>
    </row>
    <row r="286" ht="15.75" customHeight="1">
      <c r="A286" s="30" t="s">
        <v>33</v>
      </c>
      <c r="B286" s="9" t="s">
        <v>933</v>
      </c>
      <c r="C286" s="19" t="s">
        <v>84</v>
      </c>
      <c r="D286" s="22" t="s">
        <v>1014</v>
      </c>
      <c r="E286" s="19" t="s">
        <v>109</v>
      </c>
      <c r="F286" s="19" t="s">
        <v>89</v>
      </c>
      <c r="G286" s="19" t="s">
        <v>90</v>
      </c>
      <c r="H286" s="24" t="s">
        <v>59</v>
      </c>
      <c r="I286" s="25" t="s">
        <v>1015</v>
      </c>
      <c r="J286" s="19" t="s">
        <v>319</v>
      </c>
      <c r="K286" s="19" t="s">
        <v>92</v>
      </c>
      <c r="L286" s="22"/>
      <c r="M286" s="26"/>
      <c r="N286" s="26"/>
      <c r="O286" s="26"/>
      <c r="P286" s="26"/>
      <c r="Q286" s="26"/>
    </row>
    <row r="287" ht="15.75" hidden="1" customHeight="1">
      <c r="A287" s="30" t="s">
        <v>33</v>
      </c>
      <c r="B287" s="9" t="s">
        <v>1016</v>
      </c>
      <c r="C287" s="19" t="s">
        <v>1017</v>
      </c>
      <c r="D287" s="22" t="s">
        <v>1018</v>
      </c>
      <c r="E287" s="19" t="s">
        <v>54</v>
      </c>
      <c r="F287" s="19" t="s">
        <v>295</v>
      </c>
      <c r="G287" s="19" t="s">
        <v>135</v>
      </c>
      <c r="H287" s="22" t="s">
        <v>155</v>
      </c>
      <c r="I287" s="25" t="s">
        <v>1019</v>
      </c>
      <c r="J287" s="19" t="s">
        <v>140</v>
      </c>
      <c r="K287" s="19" t="s">
        <v>13</v>
      </c>
      <c r="L287" s="22" t="s">
        <v>890</v>
      </c>
      <c r="M287" s="26"/>
      <c r="N287" s="26"/>
      <c r="O287" s="26"/>
      <c r="P287" s="26"/>
      <c r="Q287" s="26"/>
    </row>
    <row r="288" ht="15.75" hidden="1" customHeight="1">
      <c r="A288" s="30" t="s">
        <v>33</v>
      </c>
      <c r="B288" s="9" t="s">
        <v>1016</v>
      </c>
      <c r="C288" s="19" t="s">
        <v>803</v>
      </c>
      <c r="D288" s="22" t="s">
        <v>1020</v>
      </c>
      <c r="E288" s="19" t="s">
        <v>88</v>
      </c>
      <c r="F288" s="19" t="s">
        <v>1021</v>
      </c>
      <c r="G288" s="19" t="s">
        <v>135</v>
      </c>
      <c r="H288" s="22" t="s">
        <v>365</v>
      </c>
      <c r="I288" s="25" t="s">
        <v>1022</v>
      </c>
      <c r="J288" s="19" t="s">
        <v>157</v>
      </c>
      <c r="K288" s="19" t="s">
        <v>40</v>
      </c>
      <c r="L288" s="22" t="s">
        <v>1023</v>
      </c>
      <c r="M288" s="26"/>
      <c r="N288" s="26"/>
      <c r="O288" s="26"/>
      <c r="P288" s="26"/>
      <c r="Q288" s="26"/>
    </row>
    <row r="289" ht="15.75" hidden="1" customHeight="1">
      <c r="A289" s="30" t="s">
        <v>33</v>
      </c>
      <c r="B289" s="9" t="s">
        <v>1016</v>
      </c>
      <c r="C289" s="19" t="s">
        <v>808</v>
      </c>
      <c r="D289" s="22" t="s">
        <v>1024</v>
      </c>
      <c r="E289" s="19" t="s">
        <v>88</v>
      </c>
      <c r="F289" s="19" t="s">
        <v>421</v>
      </c>
      <c r="G289" s="19" t="s">
        <v>135</v>
      </c>
      <c r="H289" s="22" t="s">
        <v>365</v>
      </c>
      <c r="I289" s="25" t="s">
        <v>1025</v>
      </c>
      <c r="J289" s="19" t="s">
        <v>1026</v>
      </c>
      <c r="K289" s="19" t="s">
        <v>40</v>
      </c>
      <c r="L289" s="22" t="s">
        <v>1027</v>
      </c>
      <c r="M289" s="26"/>
      <c r="N289" s="26"/>
      <c r="O289" s="26"/>
      <c r="P289" s="26"/>
      <c r="Q289" s="26"/>
    </row>
    <row r="290" ht="15.75" hidden="1" customHeight="1">
      <c r="A290" s="30" t="s">
        <v>33</v>
      </c>
      <c r="B290" s="9" t="s">
        <v>1016</v>
      </c>
      <c r="C290" s="19" t="s">
        <v>808</v>
      </c>
      <c r="D290" s="22" t="s">
        <v>1028</v>
      </c>
      <c r="E290" s="19" t="s">
        <v>88</v>
      </c>
      <c r="F290" s="19" t="s">
        <v>421</v>
      </c>
      <c r="G290" s="19" t="s">
        <v>135</v>
      </c>
      <c r="H290" s="22" t="s">
        <v>365</v>
      </c>
      <c r="I290" s="25" t="s">
        <v>1025</v>
      </c>
      <c r="J290" s="19" t="s">
        <v>1026</v>
      </c>
      <c r="K290" s="19" t="s">
        <v>40</v>
      </c>
      <c r="L290" s="22" t="s">
        <v>1027</v>
      </c>
      <c r="M290" s="26"/>
      <c r="N290" s="26"/>
      <c r="O290" s="26"/>
      <c r="P290" s="26"/>
      <c r="Q290" s="26"/>
    </row>
    <row r="291" ht="15.75" hidden="1" customHeight="1">
      <c r="A291" s="30" t="s">
        <v>33</v>
      </c>
      <c r="B291" s="9" t="s">
        <v>1016</v>
      </c>
      <c r="C291" s="19" t="s">
        <v>808</v>
      </c>
      <c r="D291" s="22" t="s">
        <v>1029</v>
      </c>
      <c r="E291" s="19" t="s">
        <v>88</v>
      </c>
      <c r="F291" s="19" t="s">
        <v>421</v>
      </c>
      <c r="G291" s="19" t="s">
        <v>135</v>
      </c>
      <c r="H291" s="22" t="s">
        <v>365</v>
      </c>
      <c r="I291" s="25" t="s">
        <v>1030</v>
      </c>
      <c r="J291" s="19"/>
      <c r="K291" s="19" t="s">
        <v>171</v>
      </c>
      <c r="L291" s="22" t="s">
        <v>1031</v>
      </c>
      <c r="M291" s="26"/>
      <c r="N291" s="26"/>
      <c r="O291" s="26"/>
      <c r="P291" s="26"/>
      <c r="Q291" s="26"/>
    </row>
    <row r="292" ht="15.75" hidden="1" customHeight="1">
      <c r="A292" s="30" t="s">
        <v>33</v>
      </c>
      <c r="B292" s="9" t="s">
        <v>1016</v>
      </c>
      <c r="C292" s="19" t="s">
        <v>172</v>
      </c>
      <c r="D292" s="22" t="s">
        <v>1032</v>
      </c>
      <c r="E292" s="19" t="s">
        <v>124</v>
      </c>
      <c r="F292" s="19" t="s">
        <v>1033</v>
      </c>
      <c r="G292" s="19" t="s">
        <v>57</v>
      </c>
      <c r="H292" s="24" t="s">
        <v>59</v>
      </c>
      <c r="I292" s="25" t="s">
        <v>1034</v>
      </c>
      <c r="J292" s="19"/>
      <c r="K292" s="19" t="s">
        <v>105</v>
      </c>
      <c r="L292" s="22" t="s">
        <v>471</v>
      </c>
      <c r="M292" s="26"/>
      <c r="N292" s="26"/>
      <c r="O292" s="26"/>
      <c r="P292" s="26"/>
      <c r="Q292" s="26"/>
    </row>
    <row r="293" ht="15.75" hidden="1" customHeight="1">
      <c r="A293" s="30" t="s">
        <v>33</v>
      </c>
      <c r="B293" s="9" t="s">
        <v>1016</v>
      </c>
      <c r="C293" s="19" t="s">
        <v>84</v>
      </c>
      <c r="D293" s="22" t="s">
        <v>1035</v>
      </c>
      <c r="E293" s="19" t="s">
        <v>124</v>
      </c>
      <c r="F293" s="19" t="s">
        <v>89</v>
      </c>
      <c r="G293" s="19" t="s">
        <v>57</v>
      </c>
      <c r="H293" s="24" t="s">
        <v>59</v>
      </c>
      <c r="I293" s="25" t="s">
        <v>1036</v>
      </c>
      <c r="J293" s="19" t="s">
        <v>1026</v>
      </c>
      <c r="K293" s="19" t="s">
        <v>52</v>
      </c>
      <c r="L293" s="22" t="s">
        <v>471</v>
      </c>
      <c r="M293" s="26"/>
      <c r="N293" s="26"/>
      <c r="O293" s="26"/>
      <c r="P293" s="26"/>
      <c r="Q293" s="26"/>
    </row>
    <row r="294" ht="15.75" hidden="1" customHeight="1">
      <c r="A294" s="30" t="s">
        <v>33</v>
      </c>
      <c r="B294" s="9" t="s">
        <v>1016</v>
      </c>
      <c r="C294" s="19" t="s">
        <v>84</v>
      </c>
      <c r="D294" s="22" t="s">
        <v>1037</v>
      </c>
      <c r="E294" s="19" t="s">
        <v>124</v>
      </c>
      <c r="F294" s="19" t="s">
        <v>89</v>
      </c>
      <c r="G294" s="19" t="s">
        <v>57</v>
      </c>
      <c r="H294" s="24" t="s">
        <v>59</v>
      </c>
      <c r="I294" s="25" t="s">
        <v>1038</v>
      </c>
      <c r="J294" s="19" t="s">
        <v>619</v>
      </c>
      <c r="K294" s="19" t="s">
        <v>52</v>
      </c>
      <c r="L294" s="22" t="s">
        <v>471</v>
      </c>
      <c r="M294" s="26"/>
      <c r="N294" s="26"/>
      <c r="O294" s="26"/>
      <c r="P294" s="26"/>
      <c r="Q294" s="26"/>
    </row>
    <row r="295" ht="15.75" hidden="1" customHeight="1">
      <c r="A295" s="30" t="s">
        <v>33</v>
      </c>
      <c r="B295" s="9" t="s">
        <v>1016</v>
      </c>
      <c r="C295" s="19" t="s">
        <v>84</v>
      </c>
      <c r="D295" s="22" t="s">
        <v>1039</v>
      </c>
      <c r="E295" s="19" t="s">
        <v>124</v>
      </c>
      <c r="F295" s="19" t="s">
        <v>89</v>
      </c>
      <c r="G295" s="19" t="s">
        <v>57</v>
      </c>
      <c r="H295" s="24" t="s">
        <v>59</v>
      </c>
      <c r="I295" s="25" t="s">
        <v>1040</v>
      </c>
      <c r="J295" s="19" t="s">
        <v>1026</v>
      </c>
      <c r="K295" s="19" t="s">
        <v>52</v>
      </c>
      <c r="L295" s="22" t="s">
        <v>471</v>
      </c>
      <c r="M295" s="26"/>
      <c r="N295" s="26"/>
      <c r="O295" s="26"/>
      <c r="P295" s="26"/>
      <c r="Q295" s="26"/>
    </row>
    <row r="296" ht="15.75" hidden="1" customHeight="1">
      <c r="A296" s="30" t="s">
        <v>33</v>
      </c>
      <c r="B296" s="9" t="s">
        <v>1016</v>
      </c>
      <c r="C296" s="19" t="s">
        <v>849</v>
      </c>
      <c r="D296" s="22" t="s">
        <v>1041</v>
      </c>
      <c r="E296" s="19" t="s">
        <v>116</v>
      </c>
      <c r="F296" s="19" t="s">
        <v>186</v>
      </c>
      <c r="G296" s="19" t="s">
        <v>57</v>
      </c>
      <c r="H296" s="22" t="s">
        <v>365</v>
      </c>
      <c r="I296" s="25" t="s">
        <v>1042</v>
      </c>
      <c r="J296" s="19"/>
      <c r="K296" s="19" t="s">
        <v>204</v>
      </c>
      <c r="L296" s="22" t="s">
        <v>1043</v>
      </c>
      <c r="M296" s="26"/>
      <c r="N296" s="26"/>
      <c r="O296" s="26"/>
      <c r="P296" s="26"/>
      <c r="Q296" s="26"/>
    </row>
    <row r="297" ht="15.75" hidden="1" customHeight="1">
      <c r="A297" s="30" t="s">
        <v>33</v>
      </c>
      <c r="B297" s="9" t="s">
        <v>1016</v>
      </c>
      <c r="C297" s="19" t="s">
        <v>849</v>
      </c>
      <c r="D297" s="22" t="s">
        <v>1044</v>
      </c>
      <c r="E297" s="19" t="s">
        <v>116</v>
      </c>
      <c r="F297" s="19" t="s">
        <v>631</v>
      </c>
      <c r="G297" s="19" t="s">
        <v>57</v>
      </c>
      <c r="H297" s="22" t="s">
        <v>365</v>
      </c>
      <c r="I297" s="25" t="s">
        <v>1045</v>
      </c>
      <c r="J297" s="19"/>
      <c r="K297" s="19" t="s">
        <v>204</v>
      </c>
      <c r="L297" s="22" t="s">
        <v>1046</v>
      </c>
      <c r="M297" s="26"/>
      <c r="N297" s="26"/>
      <c r="O297" s="26"/>
      <c r="P297" s="26"/>
      <c r="Q297" s="26"/>
    </row>
    <row r="298" ht="15.75" customHeight="1">
      <c r="A298" s="30" t="s">
        <v>33</v>
      </c>
      <c r="B298" s="9" t="s">
        <v>1047</v>
      </c>
      <c r="C298" s="19" t="s">
        <v>1048</v>
      </c>
      <c r="D298" s="22" t="s">
        <v>791</v>
      </c>
      <c r="E298" s="19" t="s">
        <v>116</v>
      </c>
      <c r="F298" s="19" t="s">
        <v>868</v>
      </c>
      <c r="G298" s="19" t="s">
        <v>90</v>
      </c>
      <c r="H298" s="24" t="s">
        <v>59</v>
      </c>
      <c r="I298" s="25" t="s">
        <v>1049</v>
      </c>
      <c r="J298" s="19" t="s">
        <v>337</v>
      </c>
      <c r="K298" s="19" t="s">
        <v>175</v>
      </c>
      <c r="L298" s="22"/>
      <c r="M298" s="26"/>
      <c r="N298" s="26"/>
      <c r="O298" s="26"/>
      <c r="P298" s="26"/>
      <c r="Q298" s="26"/>
    </row>
    <row r="299" ht="15.75" customHeight="1">
      <c r="A299" s="30" t="s">
        <v>33</v>
      </c>
      <c r="B299" s="9" t="s">
        <v>1047</v>
      </c>
      <c r="C299" s="19" t="s">
        <v>1050</v>
      </c>
      <c r="D299" s="22" t="s">
        <v>791</v>
      </c>
      <c r="E299" s="19" t="s">
        <v>116</v>
      </c>
      <c r="F299" s="19" t="s">
        <v>868</v>
      </c>
      <c r="G299" s="19" t="s">
        <v>90</v>
      </c>
      <c r="H299" s="24" t="s">
        <v>59</v>
      </c>
      <c r="I299" s="25" t="s">
        <v>1051</v>
      </c>
      <c r="J299" s="19" t="s">
        <v>811</v>
      </c>
      <c r="K299" s="19" t="s">
        <v>40</v>
      </c>
      <c r="L299" s="22"/>
      <c r="M299" s="26"/>
      <c r="N299" s="26"/>
      <c r="O299" s="26"/>
      <c r="P299" s="26"/>
      <c r="Q299" s="26"/>
    </row>
    <row r="300" ht="15.75" customHeight="1">
      <c r="A300" s="30" t="s">
        <v>33</v>
      </c>
      <c r="B300" s="9" t="s">
        <v>1047</v>
      </c>
      <c r="C300" s="19" t="s">
        <v>866</v>
      </c>
      <c r="D300" s="22" t="s">
        <v>1052</v>
      </c>
      <c r="E300" s="19" t="s">
        <v>116</v>
      </c>
      <c r="F300" s="19" t="s">
        <v>868</v>
      </c>
      <c r="G300" s="19" t="s">
        <v>90</v>
      </c>
      <c r="H300" s="24" t="s">
        <v>59</v>
      </c>
      <c r="I300" s="25" t="s">
        <v>1053</v>
      </c>
      <c r="J300" s="19" t="s">
        <v>262</v>
      </c>
      <c r="K300" s="19" t="s">
        <v>66</v>
      </c>
      <c r="L300" s="22"/>
      <c r="M300" s="26"/>
      <c r="N300" s="26"/>
      <c r="O300" s="26"/>
      <c r="P300" s="26"/>
      <c r="Q300" s="26"/>
    </row>
    <row r="301" ht="15.75" customHeight="1">
      <c r="A301" s="30" t="s">
        <v>33</v>
      </c>
      <c r="B301" s="9" t="s">
        <v>1047</v>
      </c>
      <c r="C301" s="19" t="s">
        <v>866</v>
      </c>
      <c r="D301" s="22" t="s">
        <v>1054</v>
      </c>
      <c r="E301" s="19" t="s">
        <v>116</v>
      </c>
      <c r="F301" s="19" t="s">
        <v>868</v>
      </c>
      <c r="G301" s="19" t="s">
        <v>90</v>
      </c>
      <c r="H301" s="24" t="s">
        <v>59</v>
      </c>
      <c r="I301" s="25" t="s">
        <v>1055</v>
      </c>
      <c r="J301" s="19"/>
      <c r="K301" s="19" t="s">
        <v>112</v>
      </c>
      <c r="L301" s="22"/>
      <c r="M301" s="26"/>
      <c r="N301" s="26"/>
      <c r="O301" s="26"/>
      <c r="P301" s="26"/>
      <c r="Q301" s="26"/>
    </row>
    <row r="302" ht="15.75" hidden="1" customHeight="1">
      <c r="A302" s="30" t="s">
        <v>33</v>
      </c>
      <c r="B302" s="9" t="s">
        <v>1047</v>
      </c>
      <c r="C302" s="19" t="s">
        <v>1056</v>
      </c>
      <c r="D302" s="22" t="s">
        <v>1057</v>
      </c>
      <c r="E302" s="19" t="s">
        <v>54</v>
      </c>
      <c r="F302" s="19" t="s">
        <v>295</v>
      </c>
      <c r="G302" s="19" t="s">
        <v>57</v>
      </c>
      <c r="H302" s="24" t="s">
        <v>59</v>
      </c>
      <c r="I302" s="25" t="s">
        <v>1058</v>
      </c>
      <c r="J302" s="19"/>
      <c r="K302" s="19" t="s">
        <v>74</v>
      </c>
      <c r="L302" s="22"/>
      <c r="M302" s="26"/>
      <c r="N302" s="26"/>
      <c r="O302" s="26"/>
      <c r="P302" s="26"/>
      <c r="Q302" s="26"/>
    </row>
    <row r="303" ht="15.75" hidden="1" customHeight="1">
      <c r="A303" s="30" t="s">
        <v>33</v>
      </c>
      <c r="B303" s="9" t="s">
        <v>1047</v>
      </c>
      <c r="C303" s="19" t="s">
        <v>1056</v>
      </c>
      <c r="D303" s="22" t="s">
        <v>1059</v>
      </c>
      <c r="E303" s="19" t="s">
        <v>54</v>
      </c>
      <c r="F303" s="19" t="s">
        <v>295</v>
      </c>
      <c r="G303" s="19" t="s">
        <v>57</v>
      </c>
      <c r="H303" s="24" t="s">
        <v>59</v>
      </c>
      <c r="I303" s="25" t="s">
        <v>1060</v>
      </c>
      <c r="J303" s="19"/>
      <c r="K303" s="19" t="s">
        <v>74</v>
      </c>
      <c r="L303" s="22"/>
      <c r="M303" s="26"/>
      <c r="N303" s="26"/>
      <c r="O303" s="26"/>
      <c r="P303" s="26"/>
      <c r="Q303" s="26"/>
    </row>
    <row r="304" ht="15.75" hidden="1" customHeight="1">
      <c r="A304" s="30" t="s">
        <v>33</v>
      </c>
      <c r="B304" s="9" t="s">
        <v>1047</v>
      </c>
      <c r="C304" s="19" t="s">
        <v>194</v>
      </c>
      <c r="D304" s="22" t="s">
        <v>1061</v>
      </c>
      <c r="E304" s="19" t="s">
        <v>54</v>
      </c>
      <c r="F304" s="19" t="s">
        <v>1062</v>
      </c>
      <c r="G304" s="19" t="s">
        <v>57</v>
      </c>
      <c r="H304" s="24" t="s">
        <v>59</v>
      </c>
      <c r="I304" s="25" t="s">
        <v>1063</v>
      </c>
      <c r="J304" s="19" t="s">
        <v>95</v>
      </c>
      <c r="K304" s="19" t="s">
        <v>110</v>
      </c>
      <c r="L304" s="22"/>
      <c r="M304" s="26"/>
      <c r="N304" s="26"/>
      <c r="O304" s="26"/>
      <c r="P304" s="26"/>
      <c r="Q304" s="26"/>
    </row>
    <row r="305" ht="15.75" customHeight="1">
      <c r="A305" s="30" t="s">
        <v>33</v>
      </c>
      <c r="B305" s="9" t="s">
        <v>1047</v>
      </c>
      <c r="C305" s="19" t="s">
        <v>191</v>
      </c>
      <c r="D305" s="22" t="s">
        <v>1064</v>
      </c>
      <c r="E305" s="19" t="s">
        <v>116</v>
      </c>
      <c r="F305" s="19" t="s">
        <v>868</v>
      </c>
      <c r="G305" s="19" t="s">
        <v>90</v>
      </c>
      <c r="H305" s="24" t="s">
        <v>59</v>
      </c>
      <c r="I305" s="25" t="s">
        <v>1065</v>
      </c>
      <c r="J305" s="19" t="s">
        <v>1066</v>
      </c>
      <c r="K305" s="19" t="s">
        <v>237</v>
      </c>
      <c r="L305" s="22" t="s">
        <v>1067</v>
      </c>
      <c r="M305" s="26"/>
      <c r="N305" s="26"/>
      <c r="O305" s="26"/>
      <c r="P305" s="26"/>
      <c r="Q305" s="26"/>
    </row>
    <row r="306" ht="15.75" customHeight="1">
      <c r="A306" s="30" t="s">
        <v>33</v>
      </c>
      <c r="B306" s="9" t="s">
        <v>1047</v>
      </c>
      <c r="C306" s="19" t="s">
        <v>191</v>
      </c>
      <c r="D306" s="22" t="s">
        <v>1068</v>
      </c>
      <c r="E306" s="19" t="s">
        <v>116</v>
      </c>
      <c r="F306" s="19" t="s">
        <v>241</v>
      </c>
      <c r="G306" s="19" t="s">
        <v>90</v>
      </c>
      <c r="H306" s="24" t="s">
        <v>59</v>
      </c>
      <c r="I306" s="25" t="s">
        <v>1069</v>
      </c>
      <c r="J306" s="19"/>
      <c r="K306" s="19" t="s">
        <v>40</v>
      </c>
      <c r="L306" s="22" t="s">
        <v>1070</v>
      </c>
      <c r="M306" s="26"/>
      <c r="N306" s="26"/>
      <c r="O306" s="26"/>
      <c r="P306" s="26"/>
      <c r="Q306" s="26"/>
    </row>
    <row r="307" ht="15.75" customHeight="1">
      <c r="A307" s="30" t="s">
        <v>33</v>
      </c>
      <c r="B307" s="9" t="s">
        <v>1047</v>
      </c>
      <c r="C307" s="19" t="s">
        <v>191</v>
      </c>
      <c r="D307" s="22" t="s">
        <v>1071</v>
      </c>
      <c r="E307" s="19" t="s">
        <v>116</v>
      </c>
      <c r="F307" s="19" t="s">
        <v>241</v>
      </c>
      <c r="G307" s="19" t="s">
        <v>90</v>
      </c>
      <c r="H307" s="24" t="s">
        <v>59</v>
      </c>
      <c r="I307" s="25" t="s">
        <v>1072</v>
      </c>
      <c r="J307" s="19"/>
      <c r="K307" s="19" t="s">
        <v>112</v>
      </c>
      <c r="L307" s="22"/>
      <c r="M307" s="26"/>
      <c r="N307" s="26"/>
      <c r="O307" s="26"/>
      <c r="P307" s="26"/>
      <c r="Q307" s="26"/>
    </row>
    <row r="308" ht="15.75" customHeight="1">
      <c r="A308" s="30" t="s">
        <v>33</v>
      </c>
      <c r="B308" s="9" t="s">
        <v>1047</v>
      </c>
      <c r="C308" s="19" t="s">
        <v>191</v>
      </c>
      <c r="D308" s="22" t="s">
        <v>1071</v>
      </c>
      <c r="E308" s="19" t="s">
        <v>116</v>
      </c>
      <c r="F308" s="19" t="s">
        <v>868</v>
      </c>
      <c r="G308" s="19" t="s">
        <v>90</v>
      </c>
      <c r="H308" s="24" t="s">
        <v>59</v>
      </c>
      <c r="I308" s="25" t="s">
        <v>1072</v>
      </c>
      <c r="J308" s="19"/>
      <c r="K308" s="19" t="s">
        <v>112</v>
      </c>
      <c r="L308" s="22"/>
      <c r="M308" s="26"/>
      <c r="N308" s="26"/>
      <c r="O308" s="26"/>
      <c r="P308" s="26"/>
      <c r="Q308" s="26"/>
    </row>
    <row r="309" ht="15.75" customHeight="1">
      <c r="A309" s="30" t="s">
        <v>33</v>
      </c>
      <c r="B309" s="9" t="s">
        <v>1047</v>
      </c>
      <c r="C309" s="19" t="s">
        <v>174</v>
      </c>
      <c r="D309" s="22" t="s">
        <v>799</v>
      </c>
      <c r="E309" s="19" t="s">
        <v>116</v>
      </c>
      <c r="F309" s="19" t="s">
        <v>901</v>
      </c>
      <c r="G309" s="19" t="s">
        <v>90</v>
      </c>
      <c r="H309" s="24" t="s">
        <v>59</v>
      </c>
      <c r="I309" s="25" t="s">
        <v>1073</v>
      </c>
      <c r="J309" s="19"/>
      <c r="K309" s="19" t="s">
        <v>125</v>
      </c>
      <c r="L309" s="22" t="s">
        <v>801</v>
      </c>
      <c r="M309" s="26"/>
      <c r="N309" s="26"/>
      <c r="O309" s="26"/>
      <c r="P309" s="26"/>
      <c r="Q309" s="26"/>
    </row>
    <row r="310" ht="15.75" hidden="1" customHeight="1">
      <c r="A310" s="30" t="s">
        <v>33</v>
      </c>
      <c r="B310" s="9" t="s">
        <v>1047</v>
      </c>
      <c r="C310" s="19" t="s">
        <v>1074</v>
      </c>
      <c r="D310" s="22" t="s">
        <v>1075</v>
      </c>
      <c r="E310" s="19" t="s">
        <v>116</v>
      </c>
      <c r="F310" s="19" t="s">
        <v>335</v>
      </c>
      <c r="G310" s="19" t="s">
        <v>57</v>
      </c>
      <c r="H310" s="24" t="s">
        <v>59</v>
      </c>
      <c r="I310" s="25" t="s">
        <v>1076</v>
      </c>
      <c r="J310" s="19"/>
      <c r="K310" s="19" t="s">
        <v>13</v>
      </c>
      <c r="L310" s="22"/>
      <c r="M310" s="26"/>
      <c r="N310" s="26"/>
      <c r="O310" s="26"/>
      <c r="P310" s="26"/>
      <c r="Q310" s="26"/>
    </row>
    <row r="311" ht="15.75" customHeight="1">
      <c r="A311" s="30" t="s">
        <v>33</v>
      </c>
      <c r="B311" s="9" t="s">
        <v>1077</v>
      </c>
      <c r="C311" s="19" t="s">
        <v>1078</v>
      </c>
      <c r="D311" s="22" t="s">
        <v>1079</v>
      </c>
      <c r="E311" s="19" t="s">
        <v>124</v>
      </c>
      <c r="F311" s="19" t="s">
        <v>335</v>
      </c>
      <c r="G311" s="19" t="s">
        <v>90</v>
      </c>
      <c r="H311" s="24" t="s">
        <v>59</v>
      </c>
      <c r="I311" s="25" t="s">
        <v>1080</v>
      </c>
      <c r="J311" s="19" t="s">
        <v>95</v>
      </c>
      <c r="K311" s="19" t="s">
        <v>52</v>
      </c>
      <c r="L311" s="22" t="s">
        <v>1081</v>
      </c>
      <c r="M311" s="26"/>
      <c r="N311" s="26"/>
      <c r="O311" s="26"/>
      <c r="P311" s="26"/>
      <c r="Q311" s="26"/>
    </row>
    <row r="312" ht="15.75" customHeight="1">
      <c r="A312" s="30" t="s">
        <v>33</v>
      </c>
      <c r="B312" s="9" t="s">
        <v>1077</v>
      </c>
      <c r="C312" s="19" t="s">
        <v>1078</v>
      </c>
      <c r="D312" s="22" t="s">
        <v>1082</v>
      </c>
      <c r="E312" s="19" t="s">
        <v>124</v>
      </c>
      <c r="F312" s="19" t="s">
        <v>335</v>
      </c>
      <c r="G312" s="19" t="s">
        <v>90</v>
      </c>
      <c r="H312" s="24" t="s">
        <v>59</v>
      </c>
      <c r="I312" s="25" t="s">
        <v>1080</v>
      </c>
      <c r="J312" s="19" t="s">
        <v>319</v>
      </c>
      <c r="K312" s="19" t="s">
        <v>52</v>
      </c>
      <c r="L312" s="22" t="s">
        <v>1081</v>
      </c>
      <c r="M312" s="26"/>
      <c r="N312" s="26"/>
      <c r="O312" s="26"/>
      <c r="P312" s="26"/>
      <c r="Q312" s="26"/>
    </row>
    <row r="313" ht="15.75" customHeight="1">
      <c r="A313" s="30" t="s">
        <v>33</v>
      </c>
      <c r="B313" s="9" t="s">
        <v>1077</v>
      </c>
      <c r="C313" s="19" t="s">
        <v>1078</v>
      </c>
      <c r="D313" s="22" t="s">
        <v>633</v>
      </c>
      <c r="E313" s="19" t="s">
        <v>124</v>
      </c>
      <c r="F313" s="19" t="s">
        <v>335</v>
      </c>
      <c r="G313" s="19" t="s">
        <v>90</v>
      </c>
      <c r="H313" s="24" t="s">
        <v>59</v>
      </c>
      <c r="I313" s="25" t="s">
        <v>1080</v>
      </c>
      <c r="J313" s="19" t="s">
        <v>319</v>
      </c>
      <c r="K313" s="19" t="s">
        <v>52</v>
      </c>
      <c r="L313" s="22" t="s">
        <v>1081</v>
      </c>
      <c r="M313" s="26"/>
      <c r="N313" s="26"/>
      <c r="O313" s="26"/>
      <c r="P313" s="26"/>
      <c r="Q313" s="26"/>
    </row>
    <row r="314" ht="15.75" customHeight="1">
      <c r="A314" s="30" t="s">
        <v>33</v>
      </c>
      <c r="B314" s="9" t="s">
        <v>1077</v>
      </c>
      <c r="C314" s="19" t="s">
        <v>1078</v>
      </c>
      <c r="D314" s="22" t="s">
        <v>1083</v>
      </c>
      <c r="E314" s="19" t="s">
        <v>124</v>
      </c>
      <c r="F314" s="19" t="s">
        <v>335</v>
      </c>
      <c r="G314" s="19" t="s">
        <v>90</v>
      </c>
      <c r="H314" s="24" t="s">
        <v>59</v>
      </c>
      <c r="I314" s="25" t="s">
        <v>1080</v>
      </c>
      <c r="J314" s="19" t="s">
        <v>140</v>
      </c>
      <c r="K314" s="19" t="s">
        <v>114</v>
      </c>
      <c r="L314" s="22"/>
      <c r="M314" s="26"/>
      <c r="N314" s="26"/>
      <c r="O314" s="26"/>
      <c r="P314" s="26"/>
      <c r="Q314" s="26"/>
    </row>
    <row r="315" ht="15.75" customHeight="1">
      <c r="A315" s="30" t="s">
        <v>33</v>
      </c>
      <c r="B315" s="9" t="s">
        <v>1077</v>
      </c>
      <c r="C315" s="19" t="s">
        <v>1078</v>
      </c>
      <c r="D315" s="22" t="s">
        <v>1084</v>
      </c>
      <c r="E315" s="19" t="s">
        <v>124</v>
      </c>
      <c r="F315" s="19" t="s">
        <v>335</v>
      </c>
      <c r="G315" s="19" t="s">
        <v>90</v>
      </c>
      <c r="H315" s="24" t="s">
        <v>59</v>
      </c>
      <c r="I315" s="25" t="s">
        <v>1080</v>
      </c>
      <c r="J315" s="19" t="s">
        <v>95</v>
      </c>
      <c r="K315" s="19" t="s">
        <v>52</v>
      </c>
      <c r="L315" s="22" t="s">
        <v>1081</v>
      </c>
      <c r="M315" s="26"/>
      <c r="N315" s="26"/>
      <c r="O315" s="26"/>
      <c r="P315" s="26"/>
      <c r="Q315" s="26"/>
    </row>
    <row r="316" ht="15.75" hidden="1" customHeight="1">
      <c r="A316" s="30" t="s">
        <v>33</v>
      </c>
      <c r="B316" s="9" t="s">
        <v>1077</v>
      </c>
      <c r="C316" s="19" t="s">
        <v>1085</v>
      </c>
      <c r="D316" s="22" t="s">
        <v>1086</v>
      </c>
      <c r="E316" s="19" t="s">
        <v>88</v>
      </c>
      <c r="F316" s="19" t="s">
        <v>1087</v>
      </c>
      <c r="G316" s="19" t="s">
        <v>135</v>
      </c>
      <c r="H316" s="24" t="s">
        <v>59</v>
      </c>
      <c r="I316" s="25" t="s">
        <v>1088</v>
      </c>
      <c r="J316" s="19"/>
      <c r="K316" s="19" t="s">
        <v>117</v>
      </c>
      <c r="L316" s="22" t="s">
        <v>1089</v>
      </c>
      <c r="M316" s="26"/>
      <c r="N316" s="26"/>
      <c r="O316" s="26"/>
      <c r="P316" s="26"/>
      <c r="Q316" s="26"/>
    </row>
    <row r="317" ht="15.75" hidden="1" customHeight="1">
      <c r="A317" s="30" t="s">
        <v>33</v>
      </c>
      <c r="B317" s="9" t="s">
        <v>1077</v>
      </c>
      <c r="C317" s="19" t="s">
        <v>1085</v>
      </c>
      <c r="D317" s="22" t="s">
        <v>1090</v>
      </c>
      <c r="E317" s="19" t="s">
        <v>88</v>
      </c>
      <c r="F317" s="19" t="s">
        <v>508</v>
      </c>
      <c r="G317" s="19" t="s">
        <v>135</v>
      </c>
      <c r="H317" s="24" t="s">
        <v>59</v>
      </c>
      <c r="I317" s="25" t="s">
        <v>1091</v>
      </c>
      <c r="J317" s="19"/>
      <c r="K317" s="19" t="s">
        <v>117</v>
      </c>
      <c r="L317" s="22" t="s">
        <v>1092</v>
      </c>
      <c r="M317" s="26"/>
      <c r="N317" s="26"/>
      <c r="O317" s="26"/>
      <c r="P317" s="26"/>
      <c r="Q317" s="26"/>
    </row>
    <row r="318" ht="15.75" hidden="1" customHeight="1">
      <c r="A318" s="30" t="s">
        <v>33</v>
      </c>
      <c r="B318" s="9" t="s">
        <v>1077</v>
      </c>
      <c r="C318" s="19" t="s">
        <v>1085</v>
      </c>
      <c r="D318" s="22" t="s">
        <v>1093</v>
      </c>
      <c r="E318" s="19" t="s">
        <v>88</v>
      </c>
      <c r="F318" s="19" t="s">
        <v>1094</v>
      </c>
      <c r="G318" s="19" t="s">
        <v>135</v>
      </c>
      <c r="H318" s="24" t="s">
        <v>59</v>
      </c>
      <c r="I318" s="25" t="s">
        <v>1095</v>
      </c>
      <c r="J318" s="19" t="s">
        <v>1096</v>
      </c>
      <c r="K318" s="19" t="s">
        <v>40</v>
      </c>
      <c r="L318" s="22" t="s">
        <v>1097</v>
      </c>
      <c r="M318" s="26"/>
      <c r="N318" s="26"/>
      <c r="O318" s="26"/>
      <c r="P318" s="26"/>
      <c r="Q318" s="26"/>
    </row>
    <row r="319" ht="15.75" customHeight="1">
      <c r="A319" s="30" t="s">
        <v>33</v>
      </c>
      <c r="B319" s="9" t="s">
        <v>1077</v>
      </c>
      <c r="C319" s="19" t="s">
        <v>1098</v>
      </c>
      <c r="D319" s="22" t="s">
        <v>1099</v>
      </c>
      <c r="E319" s="19" t="s">
        <v>88</v>
      </c>
      <c r="F319" s="19" t="s">
        <v>1094</v>
      </c>
      <c r="G319" s="19" t="s">
        <v>90</v>
      </c>
      <c r="H319" s="22" t="s">
        <v>365</v>
      </c>
      <c r="I319" s="25" t="s">
        <v>1100</v>
      </c>
      <c r="J319" s="19"/>
      <c r="K319" s="19" t="s">
        <v>100</v>
      </c>
      <c r="L319" s="22" t="s">
        <v>1101</v>
      </c>
      <c r="M319" s="26"/>
      <c r="N319" s="26"/>
      <c r="O319" s="26"/>
      <c r="P319" s="26"/>
      <c r="Q319" s="26"/>
    </row>
    <row r="320" ht="15.75" hidden="1" customHeight="1">
      <c r="A320" s="30" t="s">
        <v>33</v>
      </c>
      <c r="B320" s="9" t="s">
        <v>1077</v>
      </c>
      <c r="C320" s="19" t="s">
        <v>1102</v>
      </c>
      <c r="D320" s="22" t="s">
        <v>1103</v>
      </c>
      <c r="E320" s="19" t="s">
        <v>88</v>
      </c>
      <c r="F320" s="19" t="s">
        <v>1104</v>
      </c>
      <c r="G320" s="19" t="s">
        <v>135</v>
      </c>
      <c r="H320" s="24" t="s">
        <v>59</v>
      </c>
      <c r="I320" s="25" t="s">
        <v>1105</v>
      </c>
      <c r="J320" s="19" t="s">
        <v>1106</v>
      </c>
      <c r="K320" s="19" t="s">
        <v>82</v>
      </c>
      <c r="L320" s="22" t="s">
        <v>1107</v>
      </c>
      <c r="M320" s="26"/>
      <c r="N320" s="26"/>
      <c r="O320" s="26"/>
      <c r="P320" s="26"/>
      <c r="Q320" s="26"/>
    </row>
    <row r="321" ht="15.75" hidden="1" customHeight="1">
      <c r="A321" s="30" t="s">
        <v>33</v>
      </c>
      <c r="B321" s="9" t="s">
        <v>1077</v>
      </c>
      <c r="C321" s="19" t="s">
        <v>1108</v>
      </c>
      <c r="D321" s="22" t="s">
        <v>1109</v>
      </c>
      <c r="E321" s="19" t="s">
        <v>88</v>
      </c>
      <c r="F321" s="19" t="s">
        <v>494</v>
      </c>
      <c r="G321" s="19" t="s">
        <v>135</v>
      </c>
      <c r="H321" s="24" t="s">
        <v>59</v>
      </c>
      <c r="I321" s="25" t="s">
        <v>1110</v>
      </c>
      <c r="J321" s="19"/>
      <c r="K321" s="19" t="s">
        <v>199</v>
      </c>
      <c r="L321" s="22" t="s">
        <v>1111</v>
      </c>
      <c r="M321" s="26"/>
      <c r="N321" s="26"/>
      <c r="O321" s="26"/>
      <c r="P321" s="26"/>
      <c r="Q321" s="26"/>
    </row>
    <row r="322" ht="15.75" hidden="1" customHeight="1">
      <c r="A322" s="30" t="s">
        <v>33</v>
      </c>
      <c r="B322" s="9" t="s">
        <v>1077</v>
      </c>
      <c r="C322" s="19" t="s">
        <v>1112</v>
      </c>
      <c r="D322" s="22" t="s">
        <v>1113</v>
      </c>
      <c r="E322" s="19" t="s">
        <v>88</v>
      </c>
      <c r="F322" s="19" t="s">
        <v>1114</v>
      </c>
      <c r="G322" s="19" t="s">
        <v>135</v>
      </c>
      <c r="H322" s="24" t="s">
        <v>59</v>
      </c>
      <c r="I322" s="25" t="s">
        <v>1115</v>
      </c>
      <c r="J322" s="19"/>
      <c r="K322" s="19" t="s">
        <v>40</v>
      </c>
      <c r="L322" s="22" t="s">
        <v>1116</v>
      </c>
      <c r="M322" s="26"/>
      <c r="N322" s="26"/>
      <c r="O322" s="26"/>
      <c r="P322" s="26"/>
      <c r="Q322" s="26"/>
    </row>
    <row r="323" ht="15.75" hidden="1" customHeight="1">
      <c r="A323" s="30" t="s">
        <v>33</v>
      </c>
      <c r="B323" s="9" t="s">
        <v>1077</v>
      </c>
      <c r="C323" s="19" t="s">
        <v>1117</v>
      </c>
      <c r="D323" s="22" t="s">
        <v>1118</v>
      </c>
      <c r="E323" s="19" t="s">
        <v>54</v>
      </c>
      <c r="F323" s="19" t="s">
        <v>1119</v>
      </c>
      <c r="G323" s="19" t="s">
        <v>142</v>
      </c>
      <c r="H323" s="24" t="s">
        <v>59</v>
      </c>
      <c r="I323" s="25" t="s">
        <v>1120</v>
      </c>
      <c r="J323" s="19"/>
      <c r="K323" s="19" t="s">
        <v>112</v>
      </c>
      <c r="L323" s="22"/>
      <c r="M323" s="26"/>
      <c r="N323" s="26"/>
      <c r="O323" s="26"/>
      <c r="P323" s="26"/>
      <c r="Q323" s="26"/>
    </row>
    <row r="324" ht="15.75" hidden="1" customHeight="1">
      <c r="A324" s="30" t="s">
        <v>33</v>
      </c>
      <c r="B324" s="9" t="s">
        <v>1077</v>
      </c>
      <c r="C324" s="19" t="s">
        <v>84</v>
      </c>
      <c r="D324" s="22" t="s">
        <v>1121</v>
      </c>
      <c r="E324" s="19" t="s">
        <v>124</v>
      </c>
      <c r="F324" s="19" t="s">
        <v>295</v>
      </c>
      <c r="G324" s="19" t="s">
        <v>135</v>
      </c>
      <c r="H324" s="24" t="s">
        <v>59</v>
      </c>
      <c r="I324" s="25" t="s">
        <v>1122</v>
      </c>
      <c r="J324" s="19" t="s">
        <v>140</v>
      </c>
      <c r="K324" s="19" t="s">
        <v>13</v>
      </c>
      <c r="L324" s="22" t="s">
        <v>471</v>
      </c>
      <c r="M324" s="26"/>
      <c r="N324" s="26"/>
      <c r="O324" s="26"/>
      <c r="P324" s="26"/>
      <c r="Q324" s="26"/>
    </row>
    <row r="325" ht="15.75" customHeight="1">
      <c r="A325" s="30" t="s">
        <v>33</v>
      </c>
      <c r="B325" s="9" t="s">
        <v>1077</v>
      </c>
      <c r="C325" s="19" t="s">
        <v>1123</v>
      </c>
      <c r="D325" s="22" t="s">
        <v>675</v>
      </c>
      <c r="E325" s="19" t="s">
        <v>116</v>
      </c>
      <c r="F325" s="19" t="s">
        <v>1124</v>
      </c>
      <c r="G325" s="19" t="s">
        <v>90</v>
      </c>
      <c r="H325" s="22" t="s">
        <v>155</v>
      </c>
      <c r="I325" s="25" t="s">
        <v>1125</v>
      </c>
      <c r="J325" s="19"/>
      <c r="K325" s="19" t="s">
        <v>100</v>
      </c>
      <c r="L325" s="22" t="s">
        <v>1126</v>
      </c>
      <c r="M325" s="26"/>
      <c r="N325" s="26"/>
      <c r="O325" s="26"/>
      <c r="P325" s="26"/>
      <c r="Q325" s="26"/>
    </row>
    <row r="326" ht="15.75" customHeight="1">
      <c r="A326" s="30" t="s">
        <v>33</v>
      </c>
      <c r="B326" s="9" t="s">
        <v>1077</v>
      </c>
      <c r="C326" s="19" t="s">
        <v>1127</v>
      </c>
      <c r="D326" s="22" t="s">
        <v>1128</v>
      </c>
      <c r="E326" s="19" t="s">
        <v>88</v>
      </c>
      <c r="F326" s="19" t="s">
        <v>1129</v>
      </c>
      <c r="G326" s="19" t="s">
        <v>90</v>
      </c>
      <c r="H326" s="22" t="s">
        <v>365</v>
      </c>
      <c r="I326" s="25" t="s">
        <v>1130</v>
      </c>
      <c r="J326" s="19"/>
      <c r="K326" s="19" t="s">
        <v>100</v>
      </c>
      <c r="L326" s="22" t="s">
        <v>1131</v>
      </c>
      <c r="M326" s="26"/>
      <c r="N326" s="26"/>
      <c r="O326" s="26"/>
      <c r="P326" s="26"/>
      <c r="Q326" s="26"/>
    </row>
    <row r="327" ht="15.75" customHeight="1">
      <c r="A327" s="30" t="s">
        <v>33</v>
      </c>
      <c r="B327" s="9" t="s">
        <v>1132</v>
      </c>
      <c r="C327" s="19" t="s">
        <v>384</v>
      </c>
      <c r="D327" s="22" t="s">
        <v>1133</v>
      </c>
      <c r="E327" s="19" t="s">
        <v>119</v>
      </c>
      <c r="F327" s="19" t="s">
        <v>241</v>
      </c>
      <c r="G327" s="19" t="s">
        <v>90</v>
      </c>
      <c r="H327" s="24" t="s">
        <v>59</v>
      </c>
      <c r="I327" s="25" t="s">
        <v>1134</v>
      </c>
      <c r="J327" s="19" t="s">
        <v>1135</v>
      </c>
      <c r="K327" s="19" t="s">
        <v>82</v>
      </c>
      <c r="L327" s="22" t="s">
        <v>1136</v>
      </c>
      <c r="M327" s="26"/>
      <c r="N327" s="26"/>
      <c r="O327" s="26"/>
      <c r="P327" s="26"/>
      <c r="Q327" s="26"/>
    </row>
    <row r="328" ht="15.75" hidden="1" customHeight="1">
      <c r="A328" s="30" t="s">
        <v>33</v>
      </c>
      <c r="B328" s="9" t="s">
        <v>1132</v>
      </c>
      <c r="C328" s="19" t="s">
        <v>1137</v>
      </c>
      <c r="D328" s="22" t="s">
        <v>1138</v>
      </c>
      <c r="E328" s="19" t="s">
        <v>54</v>
      </c>
      <c r="F328" s="19" t="s">
        <v>1139</v>
      </c>
      <c r="G328" s="19" t="s">
        <v>135</v>
      </c>
      <c r="H328" s="22" t="s">
        <v>155</v>
      </c>
      <c r="I328" s="25" t="s">
        <v>1140</v>
      </c>
      <c r="J328" s="19"/>
      <c r="K328" s="19" t="s">
        <v>13</v>
      </c>
      <c r="L328" s="22" t="s">
        <v>890</v>
      </c>
      <c r="M328" s="26"/>
      <c r="N328" s="26"/>
      <c r="O328" s="26"/>
      <c r="P328" s="26"/>
      <c r="Q328" s="26"/>
    </row>
    <row r="329" ht="15.75" hidden="1" customHeight="1">
      <c r="A329" s="30" t="s">
        <v>33</v>
      </c>
      <c r="B329" s="9" t="s">
        <v>1132</v>
      </c>
      <c r="C329" s="19" t="s">
        <v>1141</v>
      </c>
      <c r="D329" s="22" t="s">
        <v>1142</v>
      </c>
      <c r="E329" s="19" t="s">
        <v>54</v>
      </c>
      <c r="F329" s="19" t="s">
        <v>103</v>
      </c>
      <c r="G329" s="19" t="s">
        <v>135</v>
      </c>
      <c r="H329" s="22" t="s">
        <v>155</v>
      </c>
      <c r="I329" s="25" t="s">
        <v>1143</v>
      </c>
      <c r="J329" s="19"/>
      <c r="K329" s="19" t="s">
        <v>13</v>
      </c>
      <c r="L329" s="22" t="s">
        <v>1144</v>
      </c>
      <c r="M329" s="26"/>
      <c r="N329" s="26"/>
      <c r="O329" s="26"/>
      <c r="P329" s="26"/>
      <c r="Q329" s="26"/>
    </row>
    <row r="330" ht="15.75" hidden="1" customHeight="1">
      <c r="A330" s="30" t="s">
        <v>33</v>
      </c>
      <c r="B330" s="9" t="s">
        <v>1145</v>
      </c>
      <c r="C330" s="19" t="s">
        <v>1146</v>
      </c>
      <c r="D330" s="22" t="s">
        <v>1147</v>
      </c>
      <c r="E330" s="19" t="s">
        <v>54</v>
      </c>
      <c r="F330" s="19" t="s">
        <v>1148</v>
      </c>
      <c r="G330" s="19" t="s">
        <v>57</v>
      </c>
      <c r="H330" s="24" t="s">
        <v>59</v>
      </c>
      <c r="I330" s="25" t="s">
        <v>1149</v>
      </c>
      <c r="J330" s="19"/>
      <c r="K330" s="19" t="s">
        <v>40</v>
      </c>
      <c r="L330" s="22"/>
      <c r="M330" s="26"/>
      <c r="N330" s="26"/>
      <c r="O330" s="26"/>
      <c r="P330" s="26"/>
      <c r="Q330" s="26"/>
    </row>
    <row r="331" ht="15.75" hidden="1" customHeight="1">
      <c r="A331" s="30" t="s">
        <v>33</v>
      </c>
      <c r="B331" s="9" t="s">
        <v>1145</v>
      </c>
      <c r="C331" s="19" t="s">
        <v>1150</v>
      </c>
      <c r="D331" s="22" t="s">
        <v>1151</v>
      </c>
      <c r="E331" s="19" t="s">
        <v>54</v>
      </c>
      <c r="F331" s="19" t="s">
        <v>1152</v>
      </c>
      <c r="G331" s="19" t="s">
        <v>57</v>
      </c>
      <c r="H331" s="24" t="s">
        <v>59</v>
      </c>
      <c r="I331" s="25" t="s">
        <v>1153</v>
      </c>
      <c r="J331" s="19"/>
      <c r="K331" s="19" t="s">
        <v>74</v>
      </c>
      <c r="L331" s="22"/>
      <c r="M331" s="26"/>
      <c r="N331" s="26"/>
      <c r="O331" s="26"/>
      <c r="P331" s="26"/>
      <c r="Q331" s="26"/>
    </row>
    <row r="332" ht="15.75" hidden="1" customHeight="1">
      <c r="A332" s="30" t="s">
        <v>33</v>
      </c>
      <c r="B332" s="9" t="s">
        <v>1145</v>
      </c>
      <c r="C332" s="19" t="s">
        <v>1150</v>
      </c>
      <c r="D332" s="22" t="s">
        <v>1154</v>
      </c>
      <c r="E332" s="19" t="s">
        <v>54</v>
      </c>
      <c r="F332" s="19" t="s">
        <v>1155</v>
      </c>
      <c r="G332" s="19" t="s">
        <v>57</v>
      </c>
      <c r="H332" s="24" t="s">
        <v>59</v>
      </c>
      <c r="I332" s="25" t="s">
        <v>1153</v>
      </c>
      <c r="J332" s="19"/>
      <c r="K332" s="19" t="s">
        <v>74</v>
      </c>
      <c r="L332" s="22"/>
      <c r="M332" s="26"/>
      <c r="N332" s="26"/>
      <c r="O332" s="26"/>
      <c r="P332" s="26"/>
      <c r="Q332" s="26"/>
    </row>
    <row r="333" ht="15.75" customHeight="1">
      <c r="A333" s="30" t="s">
        <v>33</v>
      </c>
      <c r="B333" s="9" t="s">
        <v>1145</v>
      </c>
      <c r="C333" s="19" t="s">
        <v>329</v>
      </c>
      <c r="D333" s="22" t="s">
        <v>1156</v>
      </c>
      <c r="E333" s="19" t="s">
        <v>121</v>
      </c>
      <c r="F333" s="19" t="s">
        <v>331</v>
      </c>
      <c r="G333" s="19" t="s">
        <v>90</v>
      </c>
      <c r="H333" s="24" t="s">
        <v>59</v>
      </c>
      <c r="I333" s="25" t="s">
        <v>1157</v>
      </c>
      <c r="J333" s="19"/>
      <c r="K333" s="19" t="s">
        <v>125</v>
      </c>
      <c r="L333" s="22"/>
      <c r="M333" s="26"/>
      <c r="N333" s="26"/>
      <c r="O333" s="26"/>
      <c r="P333" s="26"/>
      <c r="Q333" s="26"/>
    </row>
    <row r="334" ht="15.75" hidden="1" customHeight="1">
      <c r="A334" s="30" t="s">
        <v>33</v>
      </c>
      <c r="B334" s="9" t="s">
        <v>1145</v>
      </c>
      <c r="C334" s="19" t="s">
        <v>1158</v>
      </c>
      <c r="D334" s="22" t="s">
        <v>1159</v>
      </c>
      <c r="E334" s="19" t="s">
        <v>54</v>
      </c>
      <c r="F334" s="19" t="s">
        <v>1160</v>
      </c>
      <c r="G334" s="19" t="s">
        <v>57</v>
      </c>
      <c r="H334" s="24" t="s">
        <v>59</v>
      </c>
      <c r="I334" s="25" t="s">
        <v>1161</v>
      </c>
      <c r="J334" s="19"/>
      <c r="K334" s="19" t="s">
        <v>171</v>
      </c>
      <c r="L334" s="22" t="s">
        <v>1162</v>
      </c>
      <c r="M334" s="26"/>
      <c r="N334" s="26"/>
      <c r="O334" s="26"/>
      <c r="P334" s="26"/>
      <c r="Q334" s="26"/>
    </row>
    <row r="335" ht="15.75" hidden="1" customHeight="1">
      <c r="A335" s="30" t="s">
        <v>33</v>
      </c>
      <c r="B335" s="9" t="s">
        <v>1145</v>
      </c>
      <c r="C335" s="19" t="s">
        <v>1017</v>
      </c>
      <c r="D335" s="22" t="s">
        <v>1163</v>
      </c>
      <c r="E335" s="19" t="s">
        <v>54</v>
      </c>
      <c r="F335" s="19" t="s">
        <v>295</v>
      </c>
      <c r="G335" s="19" t="s">
        <v>135</v>
      </c>
      <c r="H335" s="22" t="s">
        <v>365</v>
      </c>
      <c r="I335" s="25" t="s">
        <v>1164</v>
      </c>
      <c r="J335" s="19" t="s">
        <v>140</v>
      </c>
      <c r="K335" s="19" t="s">
        <v>13</v>
      </c>
      <c r="L335" s="22"/>
      <c r="M335" s="26"/>
      <c r="N335" s="26"/>
      <c r="O335" s="26"/>
      <c r="P335" s="26"/>
      <c r="Q335" s="26"/>
    </row>
    <row r="336" ht="15.75" hidden="1" customHeight="1">
      <c r="A336" s="30" t="s">
        <v>33</v>
      </c>
      <c r="B336" s="9" t="s">
        <v>1145</v>
      </c>
      <c r="C336" s="19" t="s">
        <v>1165</v>
      </c>
      <c r="D336" s="22" t="s">
        <v>1166</v>
      </c>
      <c r="E336" s="19" t="s">
        <v>54</v>
      </c>
      <c r="F336" s="19" t="s">
        <v>1167</v>
      </c>
      <c r="G336" s="19" t="s">
        <v>57</v>
      </c>
      <c r="H336" s="24" t="s">
        <v>59</v>
      </c>
      <c r="I336" s="25" t="s">
        <v>1168</v>
      </c>
      <c r="J336" s="19"/>
      <c r="K336" s="19" t="s">
        <v>40</v>
      </c>
      <c r="L336" s="22" t="s">
        <v>1169</v>
      </c>
      <c r="M336" s="26"/>
      <c r="N336" s="26"/>
      <c r="O336" s="26"/>
      <c r="P336" s="26"/>
      <c r="Q336" s="26"/>
    </row>
    <row r="337" ht="15.75" hidden="1" customHeight="1">
      <c r="A337" s="30" t="s">
        <v>33</v>
      </c>
      <c r="B337" s="9" t="s">
        <v>1145</v>
      </c>
      <c r="C337" s="19" t="s">
        <v>1108</v>
      </c>
      <c r="D337" s="22" t="s">
        <v>1170</v>
      </c>
      <c r="E337" s="19" t="s">
        <v>54</v>
      </c>
      <c r="F337" s="19" t="s">
        <v>1171</v>
      </c>
      <c r="G337" s="19" t="s">
        <v>57</v>
      </c>
      <c r="H337" s="24" t="s">
        <v>59</v>
      </c>
      <c r="I337" s="25" t="s">
        <v>1172</v>
      </c>
      <c r="J337" s="19"/>
      <c r="K337" s="19" t="s">
        <v>40</v>
      </c>
      <c r="L337" s="22" t="s">
        <v>1173</v>
      </c>
      <c r="M337" s="26"/>
      <c r="N337" s="26"/>
      <c r="O337" s="26"/>
      <c r="P337" s="26"/>
      <c r="Q337" s="26"/>
    </row>
    <row r="338" ht="15.75" customHeight="1">
      <c r="A338" s="30" t="s">
        <v>33</v>
      </c>
      <c r="B338" s="9" t="s">
        <v>1145</v>
      </c>
      <c r="C338" s="19" t="s">
        <v>182</v>
      </c>
      <c r="D338" s="22" t="s">
        <v>1174</v>
      </c>
      <c r="E338" s="19" t="s">
        <v>129</v>
      </c>
      <c r="F338" s="19" t="s">
        <v>335</v>
      </c>
      <c r="G338" s="19" t="s">
        <v>90</v>
      </c>
      <c r="H338" s="24" t="s">
        <v>59</v>
      </c>
      <c r="I338" s="25" t="s">
        <v>1175</v>
      </c>
      <c r="J338" s="19" t="s">
        <v>337</v>
      </c>
      <c r="K338" s="19" t="s">
        <v>92</v>
      </c>
      <c r="L338" s="22"/>
      <c r="M338" s="26"/>
      <c r="N338" s="26"/>
      <c r="O338" s="26"/>
      <c r="P338" s="26"/>
      <c r="Q338" s="26"/>
    </row>
    <row r="339" ht="15.75" customHeight="1">
      <c r="A339" s="30" t="s">
        <v>33</v>
      </c>
      <c r="B339" s="9" t="s">
        <v>1145</v>
      </c>
      <c r="C339" s="19" t="s">
        <v>182</v>
      </c>
      <c r="D339" s="22" t="s">
        <v>1176</v>
      </c>
      <c r="E339" s="19" t="s">
        <v>121</v>
      </c>
      <c r="F339" s="19" t="s">
        <v>335</v>
      </c>
      <c r="G339" s="19" t="s">
        <v>90</v>
      </c>
      <c r="H339" s="24" t="s">
        <v>59</v>
      </c>
      <c r="I339" s="25" t="s">
        <v>1177</v>
      </c>
      <c r="J339" s="19" t="s">
        <v>337</v>
      </c>
      <c r="K339" s="19" t="s">
        <v>92</v>
      </c>
      <c r="L339" s="22"/>
      <c r="M339" s="26"/>
      <c r="N339" s="26"/>
      <c r="O339" s="26"/>
      <c r="P339" s="26"/>
      <c r="Q339" s="26"/>
    </row>
    <row r="340" ht="15.75" hidden="1" customHeight="1">
      <c r="A340" s="30" t="s">
        <v>33</v>
      </c>
      <c r="B340" s="9" t="s">
        <v>1145</v>
      </c>
      <c r="C340" s="19" t="s">
        <v>179</v>
      </c>
      <c r="D340" s="22" t="s">
        <v>1178</v>
      </c>
      <c r="E340" s="19" t="s">
        <v>109</v>
      </c>
      <c r="F340" s="19" t="s">
        <v>335</v>
      </c>
      <c r="G340" s="19" t="s">
        <v>142</v>
      </c>
      <c r="H340" s="24" t="s">
        <v>59</v>
      </c>
      <c r="I340" s="25" t="s">
        <v>1179</v>
      </c>
      <c r="J340" s="19"/>
      <c r="K340" s="19" t="s">
        <v>105</v>
      </c>
      <c r="L340" s="22" t="s">
        <v>1180</v>
      </c>
      <c r="M340" s="26"/>
      <c r="N340" s="26"/>
      <c r="O340" s="26"/>
      <c r="P340" s="26"/>
      <c r="Q340" s="26"/>
    </row>
    <row r="341" ht="15.75" hidden="1" customHeight="1">
      <c r="A341" s="30" t="s">
        <v>33</v>
      </c>
      <c r="B341" s="9" t="s">
        <v>1145</v>
      </c>
      <c r="C341" s="19" t="s">
        <v>179</v>
      </c>
      <c r="D341" s="22" t="s">
        <v>949</v>
      </c>
      <c r="E341" s="19" t="s">
        <v>109</v>
      </c>
      <c r="F341" s="19" t="s">
        <v>335</v>
      </c>
      <c r="G341" s="19" t="s">
        <v>142</v>
      </c>
      <c r="H341" s="24" t="s">
        <v>59</v>
      </c>
      <c r="I341" s="25" t="s">
        <v>1181</v>
      </c>
      <c r="J341" s="19"/>
      <c r="K341" s="19" t="s">
        <v>105</v>
      </c>
      <c r="L341" s="22" t="s">
        <v>1182</v>
      </c>
      <c r="M341" s="26"/>
      <c r="N341" s="26"/>
      <c r="O341" s="26"/>
      <c r="P341" s="26"/>
      <c r="Q341" s="26"/>
    </row>
    <row r="342" ht="15.75" hidden="1" customHeight="1">
      <c r="A342" s="30" t="s">
        <v>33</v>
      </c>
      <c r="B342" s="9" t="s">
        <v>1145</v>
      </c>
      <c r="C342" s="19" t="s">
        <v>179</v>
      </c>
      <c r="D342" s="22" t="s">
        <v>1183</v>
      </c>
      <c r="E342" s="19" t="s">
        <v>109</v>
      </c>
      <c r="F342" s="19" t="s">
        <v>335</v>
      </c>
      <c r="G342" s="19" t="s">
        <v>142</v>
      </c>
      <c r="H342" s="24" t="s">
        <v>59</v>
      </c>
      <c r="I342" s="25" t="s">
        <v>1184</v>
      </c>
      <c r="J342" s="19"/>
      <c r="K342" s="19" t="s">
        <v>105</v>
      </c>
      <c r="L342" s="22" t="s">
        <v>1185</v>
      </c>
      <c r="M342" s="26"/>
      <c r="N342" s="26"/>
      <c r="O342" s="26"/>
      <c r="P342" s="26"/>
      <c r="Q342" s="26"/>
    </row>
    <row r="343" ht="15.75" hidden="1" customHeight="1">
      <c r="A343" s="30" t="s">
        <v>33</v>
      </c>
      <c r="B343" s="9" t="s">
        <v>1145</v>
      </c>
      <c r="C343" s="19" t="s">
        <v>179</v>
      </c>
      <c r="D343" s="22" t="s">
        <v>1186</v>
      </c>
      <c r="E343" s="19" t="s">
        <v>109</v>
      </c>
      <c r="F343" s="19" t="s">
        <v>335</v>
      </c>
      <c r="G343" s="19" t="s">
        <v>142</v>
      </c>
      <c r="H343" s="24" t="s">
        <v>59</v>
      </c>
      <c r="I343" s="25" t="s">
        <v>1187</v>
      </c>
      <c r="J343" s="19"/>
      <c r="K343" s="19" t="s">
        <v>105</v>
      </c>
      <c r="L343" s="22" t="s">
        <v>1180</v>
      </c>
      <c r="M343" s="26"/>
      <c r="N343" s="26"/>
      <c r="O343" s="26"/>
      <c r="P343" s="26"/>
      <c r="Q343" s="26"/>
    </row>
    <row r="344" ht="15.75" hidden="1" customHeight="1">
      <c r="A344" s="30" t="s">
        <v>33</v>
      </c>
      <c r="B344" s="9" t="s">
        <v>1145</v>
      </c>
      <c r="C344" s="19" t="s">
        <v>179</v>
      </c>
      <c r="D344" s="22" t="s">
        <v>1188</v>
      </c>
      <c r="E344" s="19" t="s">
        <v>109</v>
      </c>
      <c r="F344" s="19" t="s">
        <v>335</v>
      </c>
      <c r="G344" s="19" t="s">
        <v>142</v>
      </c>
      <c r="H344" s="24" t="s">
        <v>59</v>
      </c>
      <c r="I344" s="25" t="s">
        <v>1189</v>
      </c>
      <c r="J344" s="19"/>
      <c r="K344" s="19" t="s">
        <v>105</v>
      </c>
      <c r="L344" s="22" t="s">
        <v>1180</v>
      </c>
      <c r="M344" s="26"/>
      <c r="N344" s="26"/>
      <c r="O344" s="26"/>
      <c r="P344" s="26"/>
      <c r="Q344" s="26"/>
    </row>
    <row r="345" ht="15.75" hidden="1" customHeight="1">
      <c r="A345" s="30" t="s">
        <v>33</v>
      </c>
      <c r="B345" s="9" t="s">
        <v>1145</v>
      </c>
      <c r="C345" s="19" t="s">
        <v>179</v>
      </c>
      <c r="D345" s="22" t="s">
        <v>1190</v>
      </c>
      <c r="E345" s="19" t="s">
        <v>109</v>
      </c>
      <c r="F345" s="19" t="s">
        <v>335</v>
      </c>
      <c r="G345" s="19" t="s">
        <v>142</v>
      </c>
      <c r="H345" s="24" t="s">
        <v>59</v>
      </c>
      <c r="I345" s="25" t="s">
        <v>1191</v>
      </c>
      <c r="J345" s="19" t="s">
        <v>176</v>
      </c>
      <c r="K345" s="19" t="s">
        <v>94</v>
      </c>
      <c r="L345" s="22" t="s">
        <v>1192</v>
      </c>
      <c r="M345" s="26"/>
      <c r="N345" s="26"/>
      <c r="O345" s="26"/>
      <c r="P345" s="26"/>
      <c r="Q345" s="26"/>
    </row>
    <row r="346" ht="15.75" hidden="1" customHeight="1">
      <c r="A346" s="30" t="s">
        <v>33</v>
      </c>
      <c r="B346" s="9" t="s">
        <v>1145</v>
      </c>
      <c r="C346" s="19" t="s">
        <v>179</v>
      </c>
      <c r="D346" s="22" t="s">
        <v>1193</v>
      </c>
      <c r="E346" s="19" t="s">
        <v>109</v>
      </c>
      <c r="F346" s="19" t="s">
        <v>335</v>
      </c>
      <c r="G346" s="19" t="s">
        <v>142</v>
      </c>
      <c r="H346" s="24" t="s">
        <v>59</v>
      </c>
      <c r="I346" s="25" t="s">
        <v>1194</v>
      </c>
      <c r="J346" s="19" t="s">
        <v>1195</v>
      </c>
      <c r="K346" s="19" t="s">
        <v>242</v>
      </c>
      <c r="L346" s="22" t="s">
        <v>1196</v>
      </c>
      <c r="M346" s="26"/>
      <c r="N346" s="26"/>
      <c r="O346" s="26"/>
      <c r="P346" s="26"/>
      <c r="Q346" s="26"/>
    </row>
    <row r="347" ht="15.75" hidden="1" customHeight="1">
      <c r="A347" s="30" t="s">
        <v>33</v>
      </c>
      <c r="B347" s="9" t="s">
        <v>1145</v>
      </c>
      <c r="C347" s="19" t="s">
        <v>1197</v>
      </c>
      <c r="D347" s="22" t="s">
        <v>1198</v>
      </c>
      <c r="E347" s="19" t="s">
        <v>54</v>
      </c>
      <c r="F347" s="19" t="s">
        <v>295</v>
      </c>
      <c r="G347" s="19" t="s">
        <v>135</v>
      </c>
      <c r="H347" s="22" t="s">
        <v>365</v>
      </c>
      <c r="I347" s="25" t="s">
        <v>1199</v>
      </c>
      <c r="J347" s="19" t="s">
        <v>140</v>
      </c>
      <c r="K347" s="19" t="s">
        <v>13</v>
      </c>
      <c r="L347" s="22" t="s">
        <v>1200</v>
      </c>
      <c r="M347" s="26"/>
      <c r="N347" s="26"/>
      <c r="O347" s="26"/>
      <c r="P347" s="26"/>
      <c r="Q347" s="26"/>
    </row>
    <row r="348" ht="15.75" hidden="1" customHeight="1">
      <c r="A348" s="30" t="s">
        <v>33</v>
      </c>
      <c r="B348" s="9" t="s">
        <v>1145</v>
      </c>
      <c r="C348" s="19" t="s">
        <v>369</v>
      </c>
      <c r="D348" s="22" t="s">
        <v>1201</v>
      </c>
      <c r="E348" s="19" t="s">
        <v>54</v>
      </c>
      <c r="F348" s="19" t="s">
        <v>631</v>
      </c>
      <c r="G348" s="19" t="s">
        <v>57</v>
      </c>
      <c r="H348" s="24" t="s">
        <v>59</v>
      </c>
      <c r="I348" s="25" t="s">
        <v>1202</v>
      </c>
      <c r="J348" s="19"/>
      <c r="K348" s="19" t="s">
        <v>13</v>
      </c>
      <c r="L348" s="22" t="s">
        <v>76</v>
      </c>
      <c r="M348" s="26"/>
      <c r="N348" s="26"/>
      <c r="O348" s="26"/>
      <c r="P348" s="26"/>
      <c r="Q348" s="26"/>
    </row>
    <row r="349" ht="15.75" customHeight="1">
      <c r="A349" s="30" t="s">
        <v>33</v>
      </c>
      <c r="B349" s="9" t="s">
        <v>1203</v>
      </c>
      <c r="C349" s="19" t="s">
        <v>1204</v>
      </c>
      <c r="D349" s="22" t="s">
        <v>1205</v>
      </c>
      <c r="E349" s="19" t="s">
        <v>54</v>
      </c>
      <c r="F349" s="19" t="s">
        <v>1206</v>
      </c>
      <c r="G349" s="19" t="s">
        <v>90</v>
      </c>
      <c r="H349" s="22" t="s">
        <v>155</v>
      </c>
      <c r="I349" s="25" t="s">
        <v>1207</v>
      </c>
      <c r="J349" s="19" t="s">
        <v>95</v>
      </c>
      <c r="K349" s="19" t="s">
        <v>78</v>
      </c>
      <c r="L349" s="22"/>
      <c r="M349" s="26"/>
      <c r="N349" s="26"/>
      <c r="O349" s="26"/>
      <c r="P349" s="26"/>
      <c r="Q349" s="26"/>
    </row>
    <row r="350" ht="15.75" customHeight="1">
      <c r="A350" s="30" t="s">
        <v>33</v>
      </c>
      <c r="B350" s="9" t="s">
        <v>1203</v>
      </c>
      <c r="C350" s="19" t="s">
        <v>1208</v>
      </c>
      <c r="D350" s="22" t="s">
        <v>1209</v>
      </c>
      <c r="E350" s="19" t="s">
        <v>54</v>
      </c>
      <c r="F350" s="19" t="s">
        <v>631</v>
      </c>
      <c r="G350" s="19" t="s">
        <v>90</v>
      </c>
      <c r="H350" s="22" t="s">
        <v>155</v>
      </c>
      <c r="I350" s="25" t="s">
        <v>1210</v>
      </c>
      <c r="J350" s="19" t="s">
        <v>1211</v>
      </c>
      <c r="K350" s="19" t="s">
        <v>94</v>
      </c>
      <c r="L350" s="22" t="s">
        <v>1212</v>
      </c>
      <c r="M350" s="26"/>
      <c r="N350" s="26"/>
      <c r="O350" s="26"/>
      <c r="P350" s="26"/>
      <c r="Q350" s="26"/>
    </row>
    <row r="351" ht="15.75" hidden="1" customHeight="1">
      <c r="A351" s="30" t="s">
        <v>33</v>
      </c>
      <c r="B351" s="9" t="s">
        <v>1203</v>
      </c>
      <c r="C351" s="19" t="s">
        <v>689</v>
      </c>
      <c r="D351" s="22" t="s">
        <v>633</v>
      </c>
      <c r="E351" s="19" t="s">
        <v>124</v>
      </c>
      <c r="F351" s="19" t="s">
        <v>631</v>
      </c>
      <c r="G351" s="19" t="s">
        <v>135</v>
      </c>
      <c r="H351" s="24" t="s">
        <v>59</v>
      </c>
      <c r="I351" s="25" t="s">
        <v>1213</v>
      </c>
      <c r="J351" s="19"/>
      <c r="K351" s="19" t="s">
        <v>171</v>
      </c>
      <c r="L351" s="22" t="s">
        <v>1214</v>
      </c>
      <c r="M351" s="26"/>
      <c r="N351" s="26"/>
      <c r="O351" s="26"/>
      <c r="P351" s="26"/>
      <c r="Q351" s="26"/>
    </row>
    <row r="352" ht="15.75" hidden="1" customHeight="1">
      <c r="A352" s="30" t="s">
        <v>33</v>
      </c>
      <c r="B352" s="9" t="s">
        <v>1203</v>
      </c>
      <c r="C352" s="19" t="s">
        <v>689</v>
      </c>
      <c r="D352" s="22" t="s">
        <v>633</v>
      </c>
      <c r="E352" s="19" t="s">
        <v>124</v>
      </c>
      <c r="F352" s="19" t="s">
        <v>1215</v>
      </c>
      <c r="G352" s="19" t="s">
        <v>135</v>
      </c>
      <c r="H352" s="24" t="s">
        <v>59</v>
      </c>
      <c r="I352" s="25" t="s">
        <v>1216</v>
      </c>
      <c r="J352" s="19" t="s">
        <v>1217</v>
      </c>
      <c r="K352" s="19" t="s">
        <v>78</v>
      </c>
      <c r="L352" s="22" t="s">
        <v>723</v>
      </c>
      <c r="M352" s="26"/>
      <c r="N352" s="26"/>
      <c r="O352" s="26"/>
      <c r="P352" s="26"/>
      <c r="Q352" s="26"/>
    </row>
    <row r="353" ht="15.75" hidden="1" customHeight="1">
      <c r="A353" s="30" t="s">
        <v>33</v>
      </c>
      <c r="B353" s="9" t="s">
        <v>1203</v>
      </c>
      <c r="C353" s="19" t="s">
        <v>1218</v>
      </c>
      <c r="D353" s="22" t="s">
        <v>1219</v>
      </c>
      <c r="E353" s="19" t="s">
        <v>88</v>
      </c>
      <c r="F353" s="19" t="s">
        <v>1220</v>
      </c>
      <c r="G353" s="19" t="s">
        <v>57</v>
      </c>
      <c r="H353" s="22" t="s">
        <v>155</v>
      </c>
      <c r="I353" s="25" t="s">
        <v>1221</v>
      </c>
      <c r="J353" s="19" t="s">
        <v>319</v>
      </c>
      <c r="K353" s="19" t="s">
        <v>78</v>
      </c>
      <c r="L353" s="22"/>
      <c r="M353" s="26"/>
      <c r="N353" s="26"/>
      <c r="O353" s="26"/>
      <c r="P353" s="26"/>
      <c r="Q353" s="26"/>
    </row>
    <row r="354" ht="15.75" customHeight="1">
      <c r="A354" s="30" t="s">
        <v>33</v>
      </c>
      <c r="B354" s="9" t="s">
        <v>1203</v>
      </c>
      <c r="C354" s="19" t="s">
        <v>1222</v>
      </c>
      <c r="D354" s="22" t="s">
        <v>1223</v>
      </c>
      <c r="E354" s="19" t="s">
        <v>54</v>
      </c>
      <c r="F354" s="19" t="s">
        <v>1224</v>
      </c>
      <c r="G354" s="19" t="s">
        <v>90</v>
      </c>
      <c r="H354" s="22" t="s">
        <v>155</v>
      </c>
      <c r="I354" s="25" t="s">
        <v>1225</v>
      </c>
      <c r="J354" s="19" t="s">
        <v>226</v>
      </c>
      <c r="K354" s="19" t="s">
        <v>92</v>
      </c>
      <c r="L354" s="22"/>
      <c r="M354" s="26"/>
      <c r="N354" s="26"/>
      <c r="O354" s="26"/>
      <c r="P354" s="26"/>
      <c r="Q354" s="26"/>
    </row>
    <row r="355" ht="15.75" hidden="1" customHeight="1">
      <c r="A355" s="30" t="s">
        <v>33</v>
      </c>
      <c r="B355" s="9" t="s">
        <v>1203</v>
      </c>
      <c r="C355" s="19" t="s">
        <v>642</v>
      </c>
      <c r="D355" s="22" t="s">
        <v>1226</v>
      </c>
      <c r="E355" s="19" t="s">
        <v>88</v>
      </c>
      <c r="F355" s="19" t="s">
        <v>494</v>
      </c>
      <c r="G355" s="19" t="s">
        <v>57</v>
      </c>
      <c r="H355" s="22" t="s">
        <v>155</v>
      </c>
      <c r="I355" s="25" t="s">
        <v>1227</v>
      </c>
      <c r="J355" s="19"/>
      <c r="K355" s="19" t="s">
        <v>211</v>
      </c>
      <c r="L355" s="22" t="s">
        <v>1228</v>
      </c>
      <c r="M355" s="26"/>
      <c r="N355" s="26"/>
      <c r="O355" s="26"/>
      <c r="P355" s="26"/>
      <c r="Q355" s="26"/>
    </row>
    <row r="356" ht="15.75" hidden="1" customHeight="1">
      <c r="A356" s="30" t="s">
        <v>33</v>
      </c>
      <c r="B356" s="9" t="s">
        <v>1203</v>
      </c>
      <c r="C356" s="19" t="s">
        <v>642</v>
      </c>
      <c r="D356" s="22" t="s">
        <v>1229</v>
      </c>
      <c r="E356" s="19" t="s">
        <v>88</v>
      </c>
      <c r="F356" s="19" t="s">
        <v>494</v>
      </c>
      <c r="G356" s="19" t="s">
        <v>57</v>
      </c>
      <c r="H356" s="22" t="s">
        <v>155</v>
      </c>
      <c r="I356" s="25" t="s">
        <v>1230</v>
      </c>
      <c r="J356" s="19"/>
      <c r="K356" s="19" t="s">
        <v>211</v>
      </c>
      <c r="L356" s="22" t="s">
        <v>1231</v>
      </c>
      <c r="M356" s="26"/>
      <c r="N356" s="26"/>
      <c r="O356" s="26"/>
      <c r="P356" s="26"/>
      <c r="Q356" s="26"/>
    </row>
    <row r="357" ht="15.75" hidden="1" customHeight="1">
      <c r="A357" s="30" t="s">
        <v>33</v>
      </c>
      <c r="B357" s="9" t="s">
        <v>1203</v>
      </c>
      <c r="C357" s="19" t="s">
        <v>183</v>
      </c>
      <c r="D357" s="22" t="s">
        <v>1232</v>
      </c>
      <c r="E357" s="19" t="s">
        <v>124</v>
      </c>
      <c r="F357" s="19" t="s">
        <v>302</v>
      </c>
      <c r="G357" s="19" t="s">
        <v>135</v>
      </c>
      <c r="H357" s="24" t="s">
        <v>59</v>
      </c>
      <c r="I357" s="25" t="s">
        <v>1233</v>
      </c>
      <c r="J357" s="19" t="s">
        <v>319</v>
      </c>
      <c r="K357" s="19" t="s">
        <v>78</v>
      </c>
      <c r="L357" s="22" t="s">
        <v>723</v>
      </c>
      <c r="M357" s="26"/>
      <c r="N357" s="26"/>
      <c r="O357" s="26"/>
      <c r="P357" s="26"/>
      <c r="Q357" s="26"/>
    </row>
    <row r="358" ht="15.75" hidden="1" customHeight="1">
      <c r="A358" s="30" t="s">
        <v>33</v>
      </c>
      <c r="B358" s="9" t="s">
        <v>1203</v>
      </c>
      <c r="C358" s="19" t="s">
        <v>1234</v>
      </c>
      <c r="D358" s="22" t="s">
        <v>1235</v>
      </c>
      <c r="E358" s="19" t="s">
        <v>88</v>
      </c>
      <c r="F358" s="19" t="s">
        <v>1236</v>
      </c>
      <c r="G358" s="19" t="s">
        <v>57</v>
      </c>
      <c r="H358" s="22" t="s">
        <v>155</v>
      </c>
      <c r="I358" s="25" t="s">
        <v>1237</v>
      </c>
      <c r="J358" s="19" t="s">
        <v>1211</v>
      </c>
      <c r="K358" s="19" t="s">
        <v>110</v>
      </c>
      <c r="L358" s="22" t="s">
        <v>128</v>
      </c>
      <c r="M358" s="26"/>
      <c r="N358" s="26"/>
      <c r="O358" s="26"/>
      <c r="P358" s="26"/>
      <c r="Q358" s="26"/>
    </row>
    <row r="359" ht="15.75" hidden="1" customHeight="1">
      <c r="A359" s="30" t="s">
        <v>33</v>
      </c>
      <c r="B359" s="9" t="s">
        <v>1203</v>
      </c>
      <c r="C359" s="19" t="s">
        <v>179</v>
      </c>
      <c r="D359" s="22" t="s">
        <v>1238</v>
      </c>
      <c r="E359" s="19" t="s">
        <v>124</v>
      </c>
      <c r="F359" s="19" t="s">
        <v>421</v>
      </c>
      <c r="G359" s="19" t="s">
        <v>135</v>
      </c>
      <c r="H359" s="24" t="s">
        <v>59</v>
      </c>
      <c r="I359" s="25" t="s">
        <v>1239</v>
      </c>
      <c r="J359" s="19" t="s">
        <v>1240</v>
      </c>
      <c r="K359" s="19" t="s">
        <v>78</v>
      </c>
      <c r="L359" s="22" t="s">
        <v>723</v>
      </c>
      <c r="M359" s="26"/>
      <c r="N359" s="26"/>
      <c r="O359" s="26"/>
      <c r="P359" s="26"/>
      <c r="Q359" s="26"/>
    </row>
    <row r="360" ht="15.75" customHeight="1">
      <c r="A360" s="30" t="s">
        <v>33</v>
      </c>
      <c r="B360" s="9" t="s">
        <v>1203</v>
      </c>
      <c r="C360" s="19" t="s">
        <v>1241</v>
      </c>
      <c r="D360" s="22" t="s">
        <v>1242</v>
      </c>
      <c r="E360" s="19" t="s">
        <v>54</v>
      </c>
      <c r="F360" s="19" t="s">
        <v>1243</v>
      </c>
      <c r="G360" s="19" t="s">
        <v>90</v>
      </c>
      <c r="H360" s="22" t="s">
        <v>155</v>
      </c>
      <c r="I360" s="25" t="s">
        <v>1244</v>
      </c>
      <c r="J360" s="19" t="s">
        <v>140</v>
      </c>
      <c r="K360" s="19" t="s">
        <v>78</v>
      </c>
      <c r="L360" s="22"/>
      <c r="M360" s="26"/>
      <c r="N360" s="26"/>
      <c r="O360" s="26"/>
      <c r="P360" s="26"/>
      <c r="Q360" s="26"/>
    </row>
    <row r="361" ht="15.75" customHeight="1">
      <c r="A361" s="30" t="s">
        <v>33</v>
      </c>
      <c r="B361" s="9" t="s">
        <v>1203</v>
      </c>
      <c r="C361" s="19" t="s">
        <v>84</v>
      </c>
      <c r="D361" s="22" t="s">
        <v>1245</v>
      </c>
      <c r="E361" s="19" t="s">
        <v>115</v>
      </c>
      <c r="F361" s="19" t="s">
        <v>89</v>
      </c>
      <c r="G361" s="19" t="s">
        <v>90</v>
      </c>
      <c r="H361" s="24" t="s">
        <v>59</v>
      </c>
      <c r="I361" s="25" t="s">
        <v>1246</v>
      </c>
      <c r="J361" s="19" t="s">
        <v>456</v>
      </c>
      <c r="K361" s="19" t="s">
        <v>52</v>
      </c>
      <c r="L361" s="22"/>
      <c r="M361" s="26"/>
      <c r="N361" s="26"/>
      <c r="O361" s="26"/>
      <c r="P361" s="26"/>
      <c r="Q361" s="26"/>
    </row>
    <row r="362" ht="15.75" customHeight="1">
      <c r="A362" s="30" t="s">
        <v>33</v>
      </c>
      <c r="B362" s="9" t="s">
        <v>1203</v>
      </c>
      <c r="C362" s="19" t="s">
        <v>84</v>
      </c>
      <c r="D362" s="22" t="s">
        <v>1247</v>
      </c>
      <c r="E362" s="19" t="s">
        <v>115</v>
      </c>
      <c r="F362" s="19" t="s">
        <v>89</v>
      </c>
      <c r="G362" s="19" t="s">
        <v>90</v>
      </c>
      <c r="H362" s="24" t="s">
        <v>59</v>
      </c>
      <c r="I362" s="25" t="s">
        <v>1248</v>
      </c>
      <c r="J362" s="19" t="s">
        <v>319</v>
      </c>
      <c r="K362" s="19" t="s">
        <v>52</v>
      </c>
      <c r="L362" s="22"/>
      <c r="M362" s="26"/>
      <c r="N362" s="26"/>
      <c r="O362" s="26"/>
      <c r="P362" s="26"/>
      <c r="Q362" s="26"/>
    </row>
    <row r="363" ht="15.75" customHeight="1">
      <c r="A363" s="30" t="s">
        <v>33</v>
      </c>
      <c r="B363" s="9" t="s">
        <v>1203</v>
      </c>
      <c r="C363" s="19" t="s">
        <v>84</v>
      </c>
      <c r="D363" s="22" t="s">
        <v>1249</v>
      </c>
      <c r="E363" s="19" t="s">
        <v>115</v>
      </c>
      <c r="F363" s="19" t="s">
        <v>89</v>
      </c>
      <c r="G363" s="19" t="s">
        <v>90</v>
      </c>
      <c r="H363" s="24" t="s">
        <v>59</v>
      </c>
      <c r="I363" s="25" t="s">
        <v>1250</v>
      </c>
      <c r="J363" s="19" t="s">
        <v>319</v>
      </c>
      <c r="K363" s="19" t="s">
        <v>52</v>
      </c>
      <c r="L363" s="22"/>
      <c r="M363" s="26"/>
      <c r="N363" s="26"/>
      <c r="O363" s="26"/>
      <c r="P363" s="26"/>
      <c r="Q363" s="26"/>
    </row>
    <row r="364" ht="15.75" customHeight="1">
      <c r="A364" s="30" t="s">
        <v>33</v>
      </c>
      <c r="B364" s="9" t="s">
        <v>1203</v>
      </c>
      <c r="C364" s="19" t="s">
        <v>84</v>
      </c>
      <c r="D364" s="22" t="s">
        <v>1251</v>
      </c>
      <c r="E364" s="19" t="s">
        <v>115</v>
      </c>
      <c r="F364" s="19" t="s">
        <v>89</v>
      </c>
      <c r="G364" s="19" t="s">
        <v>90</v>
      </c>
      <c r="H364" s="24" t="s">
        <v>59</v>
      </c>
      <c r="I364" s="25" t="s">
        <v>1252</v>
      </c>
      <c r="J364" s="19" t="s">
        <v>456</v>
      </c>
      <c r="K364" s="19" t="s">
        <v>52</v>
      </c>
      <c r="L364" s="22"/>
      <c r="M364" s="26"/>
      <c r="N364" s="26"/>
      <c r="O364" s="26"/>
      <c r="P364" s="26"/>
      <c r="Q364" s="26"/>
    </row>
    <row r="365" ht="15.75" hidden="1" customHeight="1">
      <c r="A365" s="30" t="s">
        <v>33</v>
      </c>
      <c r="B365" s="9" t="s">
        <v>1203</v>
      </c>
      <c r="C365" s="19" t="s">
        <v>84</v>
      </c>
      <c r="D365" s="22" t="s">
        <v>1253</v>
      </c>
      <c r="E365" s="19" t="s">
        <v>124</v>
      </c>
      <c r="F365" s="19" t="s">
        <v>89</v>
      </c>
      <c r="G365" s="19" t="s">
        <v>135</v>
      </c>
      <c r="H365" s="24" t="s">
        <v>59</v>
      </c>
      <c r="I365" s="25" t="s">
        <v>1254</v>
      </c>
      <c r="J365" s="19"/>
      <c r="K365" s="19" t="s">
        <v>199</v>
      </c>
      <c r="L365" s="22" t="s">
        <v>1255</v>
      </c>
      <c r="M365" s="26"/>
      <c r="N365" s="26"/>
      <c r="O365" s="26"/>
      <c r="P365" s="26"/>
      <c r="Q365" s="26"/>
    </row>
    <row r="366" ht="15.75" customHeight="1">
      <c r="A366" s="30" t="s">
        <v>33</v>
      </c>
      <c r="B366" s="9" t="s">
        <v>1203</v>
      </c>
      <c r="C366" s="19" t="s">
        <v>1256</v>
      </c>
      <c r="D366" s="22" t="s">
        <v>1257</v>
      </c>
      <c r="E366" s="19" t="s">
        <v>54</v>
      </c>
      <c r="F366" s="19" t="s">
        <v>89</v>
      </c>
      <c r="G366" s="19" t="s">
        <v>90</v>
      </c>
      <c r="H366" s="22" t="s">
        <v>155</v>
      </c>
      <c r="I366" s="25" t="s">
        <v>1258</v>
      </c>
      <c r="J366" s="19" t="s">
        <v>553</v>
      </c>
      <c r="K366" s="19" t="s">
        <v>92</v>
      </c>
      <c r="L366" s="22"/>
      <c r="M366" s="26"/>
      <c r="N366" s="26"/>
      <c r="O366" s="26"/>
      <c r="P366" s="26"/>
      <c r="Q366" s="26"/>
    </row>
    <row r="367" ht="15.75" hidden="1" customHeight="1">
      <c r="A367" s="30" t="s">
        <v>33</v>
      </c>
      <c r="B367" s="9" t="s">
        <v>1203</v>
      </c>
      <c r="C367" s="19" t="s">
        <v>1259</v>
      </c>
      <c r="D367" s="22" t="s">
        <v>1260</v>
      </c>
      <c r="E367" s="19" t="s">
        <v>88</v>
      </c>
      <c r="F367" s="19" t="s">
        <v>1167</v>
      </c>
      <c r="G367" s="19" t="s">
        <v>57</v>
      </c>
      <c r="H367" s="22" t="s">
        <v>155</v>
      </c>
      <c r="I367" s="25" t="s">
        <v>1261</v>
      </c>
      <c r="J367" s="19"/>
      <c r="K367" s="19" t="s">
        <v>13</v>
      </c>
      <c r="L367" s="22" t="s">
        <v>1262</v>
      </c>
      <c r="M367" s="26"/>
      <c r="N367" s="26"/>
      <c r="O367" s="26"/>
      <c r="P367" s="26"/>
      <c r="Q367" s="26"/>
    </row>
    <row r="368" ht="15.75" hidden="1" customHeight="1">
      <c r="A368" s="30" t="s">
        <v>33</v>
      </c>
      <c r="B368" s="9" t="s">
        <v>1203</v>
      </c>
      <c r="C368" s="19" t="s">
        <v>1259</v>
      </c>
      <c r="D368" s="22" t="s">
        <v>656</v>
      </c>
      <c r="E368" s="19" t="s">
        <v>88</v>
      </c>
      <c r="F368" s="19" t="s">
        <v>1263</v>
      </c>
      <c r="G368" s="19" t="s">
        <v>57</v>
      </c>
      <c r="H368" s="22" t="s">
        <v>155</v>
      </c>
      <c r="I368" s="25" t="s">
        <v>1264</v>
      </c>
      <c r="J368" s="19"/>
      <c r="K368" s="19" t="s">
        <v>105</v>
      </c>
      <c r="L368" s="22" t="s">
        <v>1265</v>
      </c>
      <c r="M368" s="26"/>
      <c r="N368" s="26"/>
      <c r="O368" s="26"/>
      <c r="P368" s="26"/>
      <c r="Q368" s="26"/>
    </row>
    <row r="369" ht="15.75" hidden="1" customHeight="1">
      <c r="A369" s="30" t="s">
        <v>33</v>
      </c>
      <c r="B369" s="9" t="s">
        <v>1266</v>
      </c>
      <c r="C369" s="19" t="s">
        <v>409</v>
      </c>
      <c r="D369" s="22" t="s">
        <v>1267</v>
      </c>
      <c r="E369" s="19" t="s">
        <v>109</v>
      </c>
      <c r="F369" s="19" t="s">
        <v>103</v>
      </c>
      <c r="G369" s="19" t="s">
        <v>57</v>
      </c>
      <c r="H369" s="24" t="s">
        <v>59</v>
      </c>
      <c r="I369" s="25" t="s">
        <v>1268</v>
      </c>
      <c r="J369" s="19" t="s">
        <v>308</v>
      </c>
      <c r="K369" s="19" t="s">
        <v>130</v>
      </c>
      <c r="L369" s="22"/>
      <c r="M369" s="26"/>
      <c r="N369" s="26"/>
      <c r="O369" s="26"/>
      <c r="P369" s="26"/>
      <c r="Q369" s="26"/>
    </row>
    <row r="370" ht="15.75" hidden="1" customHeight="1">
      <c r="A370" s="30" t="s">
        <v>33</v>
      </c>
      <c r="B370" s="9" t="s">
        <v>1266</v>
      </c>
      <c r="C370" s="19" t="s">
        <v>409</v>
      </c>
      <c r="D370" s="22" t="s">
        <v>1269</v>
      </c>
      <c r="E370" s="19" t="s">
        <v>109</v>
      </c>
      <c r="F370" s="19" t="s">
        <v>103</v>
      </c>
      <c r="G370" s="19" t="s">
        <v>57</v>
      </c>
      <c r="H370" s="24" t="s">
        <v>59</v>
      </c>
      <c r="I370" s="25" t="s">
        <v>1270</v>
      </c>
      <c r="J370" s="19" t="s">
        <v>157</v>
      </c>
      <c r="K370" s="19" t="s">
        <v>152</v>
      </c>
      <c r="L370" s="22" t="s">
        <v>1271</v>
      </c>
      <c r="M370" s="26"/>
      <c r="N370" s="26"/>
      <c r="O370" s="26"/>
      <c r="P370" s="26"/>
      <c r="Q370" s="26"/>
    </row>
    <row r="371" ht="15.75" customHeight="1">
      <c r="A371" s="30" t="s">
        <v>33</v>
      </c>
      <c r="B371" s="9" t="s">
        <v>1266</v>
      </c>
      <c r="C371" s="19" t="s">
        <v>1272</v>
      </c>
      <c r="D371" s="22" t="s">
        <v>1273</v>
      </c>
      <c r="E371" s="19" t="s">
        <v>54</v>
      </c>
      <c r="F371" s="19" t="s">
        <v>295</v>
      </c>
      <c r="G371" s="19" t="s">
        <v>90</v>
      </c>
      <c r="H371" s="22" t="s">
        <v>365</v>
      </c>
      <c r="I371" s="25" t="s">
        <v>1274</v>
      </c>
      <c r="J371" s="19"/>
      <c r="K371" s="19" t="s">
        <v>224</v>
      </c>
      <c r="L371" s="22" t="s">
        <v>1275</v>
      </c>
      <c r="M371" s="26"/>
      <c r="N371" s="26"/>
      <c r="O371" s="26"/>
      <c r="P371" s="26"/>
      <c r="Q371" s="26"/>
    </row>
    <row r="372" ht="15.75" hidden="1" customHeight="1">
      <c r="A372" s="30" t="s">
        <v>33</v>
      </c>
      <c r="B372" s="9" t="s">
        <v>1266</v>
      </c>
      <c r="C372" s="19" t="s">
        <v>1050</v>
      </c>
      <c r="D372" s="22" t="s">
        <v>791</v>
      </c>
      <c r="E372" s="19" t="s">
        <v>116</v>
      </c>
      <c r="F372" s="19" t="s">
        <v>331</v>
      </c>
      <c r="G372" s="19" t="s">
        <v>135</v>
      </c>
      <c r="H372" s="24" t="s">
        <v>59</v>
      </c>
      <c r="I372" s="25" t="s">
        <v>1276</v>
      </c>
      <c r="J372" s="19" t="s">
        <v>635</v>
      </c>
      <c r="K372" s="19" t="s">
        <v>78</v>
      </c>
      <c r="L372" s="22" t="s">
        <v>723</v>
      </c>
      <c r="M372" s="26"/>
      <c r="N372" s="26"/>
      <c r="O372" s="26"/>
      <c r="P372" s="26"/>
      <c r="Q372" s="26"/>
    </row>
    <row r="373" ht="15.75" hidden="1" customHeight="1">
      <c r="A373" s="30" t="s">
        <v>33</v>
      </c>
      <c r="B373" s="9" t="s">
        <v>1266</v>
      </c>
      <c r="C373" s="19" t="s">
        <v>194</v>
      </c>
      <c r="D373" s="22" t="s">
        <v>1277</v>
      </c>
      <c r="E373" s="19" t="s">
        <v>54</v>
      </c>
      <c r="F373" s="19" t="s">
        <v>295</v>
      </c>
      <c r="G373" s="19" t="s">
        <v>135</v>
      </c>
      <c r="H373" s="24" t="s">
        <v>59</v>
      </c>
      <c r="I373" s="25" t="s">
        <v>1278</v>
      </c>
      <c r="J373" s="19" t="s">
        <v>635</v>
      </c>
      <c r="K373" s="19" t="s">
        <v>78</v>
      </c>
      <c r="L373" s="22" t="s">
        <v>723</v>
      </c>
      <c r="M373" s="26"/>
      <c r="N373" s="26"/>
      <c r="O373" s="26"/>
      <c r="P373" s="26"/>
      <c r="Q373" s="26"/>
    </row>
    <row r="374" ht="15.75" hidden="1" customHeight="1">
      <c r="A374" s="30" t="s">
        <v>33</v>
      </c>
      <c r="B374" s="9" t="s">
        <v>1266</v>
      </c>
      <c r="C374" s="19" t="s">
        <v>183</v>
      </c>
      <c r="D374" s="22" t="s">
        <v>1279</v>
      </c>
      <c r="E374" s="19" t="s">
        <v>109</v>
      </c>
      <c r="F374" s="19" t="s">
        <v>302</v>
      </c>
      <c r="G374" s="19" t="s">
        <v>57</v>
      </c>
      <c r="H374" s="24" t="s">
        <v>59</v>
      </c>
      <c r="I374" s="25" t="s">
        <v>1280</v>
      </c>
      <c r="J374" s="19" t="s">
        <v>319</v>
      </c>
      <c r="K374" s="19" t="s">
        <v>52</v>
      </c>
      <c r="L374" s="22"/>
      <c r="M374" s="26"/>
      <c r="N374" s="26"/>
      <c r="O374" s="26"/>
      <c r="P374" s="26"/>
      <c r="Q374" s="26"/>
    </row>
    <row r="375" ht="15.75" hidden="1" customHeight="1">
      <c r="A375" s="30" t="s">
        <v>33</v>
      </c>
      <c r="B375" s="9" t="s">
        <v>1266</v>
      </c>
      <c r="C375" s="19" t="s">
        <v>183</v>
      </c>
      <c r="D375" s="22" t="s">
        <v>1281</v>
      </c>
      <c r="E375" s="19" t="s">
        <v>109</v>
      </c>
      <c r="F375" s="19" t="s">
        <v>302</v>
      </c>
      <c r="G375" s="19" t="s">
        <v>57</v>
      </c>
      <c r="H375" s="24" t="s">
        <v>59</v>
      </c>
      <c r="I375" s="25" t="s">
        <v>1282</v>
      </c>
      <c r="J375" s="19" t="s">
        <v>319</v>
      </c>
      <c r="K375" s="19" t="s">
        <v>52</v>
      </c>
      <c r="L375" s="22"/>
      <c r="M375" s="26"/>
      <c r="N375" s="26"/>
      <c r="O375" s="26"/>
      <c r="P375" s="26"/>
      <c r="Q375" s="26"/>
    </row>
    <row r="376" ht="15.75" hidden="1" customHeight="1">
      <c r="A376" s="30" t="s">
        <v>33</v>
      </c>
      <c r="B376" s="9" t="s">
        <v>1266</v>
      </c>
      <c r="C376" s="19" t="s">
        <v>1283</v>
      </c>
      <c r="D376" s="22" t="s">
        <v>1284</v>
      </c>
      <c r="E376" s="19" t="s">
        <v>109</v>
      </c>
      <c r="F376" s="19" t="s">
        <v>631</v>
      </c>
      <c r="G376" s="19" t="s">
        <v>57</v>
      </c>
      <c r="H376" s="24" t="s">
        <v>59</v>
      </c>
      <c r="I376" s="25" t="s">
        <v>1285</v>
      </c>
      <c r="J376" s="19" t="s">
        <v>1286</v>
      </c>
      <c r="K376" s="19" t="s">
        <v>130</v>
      </c>
      <c r="L376" s="22"/>
      <c r="M376" s="26"/>
      <c r="N376" s="26"/>
      <c r="O376" s="26"/>
      <c r="P376" s="26"/>
      <c r="Q376" s="26"/>
    </row>
    <row r="377" ht="15.75" customHeight="1">
      <c r="A377" s="30" t="s">
        <v>33</v>
      </c>
      <c r="B377" s="9" t="s">
        <v>1266</v>
      </c>
      <c r="C377" s="19" t="s">
        <v>1287</v>
      </c>
      <c r="D377" s="22" t="s">
        <v>791</v>
      </c>
      <c r="E377" s="19" t="s">
        <v>116</v>
      </c>
      <c r="F377" s="19" t="s">
        <v>335</v>
      </c>
      <c r="G377" s="19" t="s">
        <v>90</v>
      </c>
      <c r="H377" s="22" t="s">
        <v>365</v>
      </c>
      <c r="I377" s="25" t="s">
        <v>1288</v>
      </c>
      <c r="J377" s="19"/>
      <c r="K377" s="19" t="s">
        <v>125</v>
      </c>
      <c r="L377" s="22"/>
      <c r="M377" s="26"/>
      <c r="N377" s="26"/>
      <c r="O377" s="26"/>
      <c r="P377" s="26"/>
      <c r="Q377" s="26"/>
    </row>
    <row r="378" ht="15.75" hidden="1" customHeight="1">
      <c r="A378" s="30" t="s">
        <v>33</v>
      </c>
      <c r="B378" s="9" t="s">
        <v>1266</v>
      </c>
      <c r="C378" s="19" t="s">
        <v>1289</v>
      </c>
      <c r="D378" s="22" t="s">
        <v>1290</v>
      </c>
      <c r="E378" s="19" t="s">
        <v>109</v>
      </c>
      <c r="F378" s="19" t="s">
        <v>1291</v>
      </c>
      <c r="G378" s="19" t="s">
        <v>57</v>
      </c>
      <c r="H378" s="24" t="s">
        <v>59</v>
      </c>
      <c r="I378" s="25" t="s">
        <v>1292</v>
      </c>
      <c r="J378" s="19" t="s">
        <v>157</v>
      </c>
      <c r="K378" s="19" t="s">
        <v>152</v>
      </c>
      <c r="L378" s="22" t="s">
        <v>1271</v>
      </c>
      <c r="M378" s="26"/>
      <c r="N378" s="26"/>
      <c r="O378" s="26"/>
      <c r="P378" s="26"/>
      <c r="Q378" s="26"/>
    </row>
    <row r="379" ht="15.75" hidden="1" customHeight="1">
      <c r="A379" s="30" t="s">
        <v>33</v>
      </c>
      <c r="B379" s="9" t="s">
        <v>1266</v>
      </c>
      <c r="C379" s="19" t="s">
        <v>1289</v>
      </c>
      <c r="D379" s="22" t="s">
        <v>1290</v>
      </c>
      <c r="E379" s="19" t="s">
        <v>109</v>
      </c>
      <c r="F379" s="19" t="s">
        <v>1293</v>
      </c>
      <c r="G379" s="19" t="s">
        <v>57</v>
      </c>
      <c r="H379" s="24" t="s">
        <v>59</v>
      </c>
      <c r="I379" s="25" t="s">
        <v>1294</v>
      </c>
      <c r="J379" s="19" t="s">
        <v>157</v>
      </c>
      <c r="K379" s="19" t="s">
        <v>152</v>
      </c>
      <c r="L379" s="22" t="s">
        <v>1271</v>
      </c>
      <c r="M379" s="26"/>
      <c r="N379" s="26"/>
      <c r="O379" s="26"/>
      <c r="P379" s="26"/>
      <c r="Q379" s="26"/>
    </row>
    <row r="380" ht="15.75" hidden="1" customHeight="1">
      <c r="A380" s="30" t="s">
        <v>33</v>
      </c>
      <c r="B380" s="9" t="s">
        <v>1266</v>
      </c>
      <c r="C380" s="19" t="s">
        <v>1289</v>
      </c>
      <c r="D380" s="22" t="s">
        <v>1295</v>
      </c>
      <c r="E380" s="19" t="s">
        <v>109</v>
      </c>
      <c r="F380" s="19" t="s">
        <v>1296</v>
      </c>
      <c r="G380" s="19" t="s">
        <v>57</v>
      </c>
      <c r="H380" s="24" t="s">
        <v>59</v>
      </c>
      <c r="I380" s="25" t="s">
        <v>1297</v>
      </c>
      <c r="J380" s="19" t="s">
        <v>553</v>
      </c>
      <c r="K380" s="19" t="s">
        <v>139</v>
      </c>
      <c r="L380" s="22"/>
      <c r="M380" s="26"/>
      <c r="N380" s="26"/>
      <c r="O380" s="26"/>
      <c r="P380" s="26"/>
      <c r="Q380" s="26"/>
    </row>
    <row r="381" ht="15.75" hidden="1" customHeight="1">
      <c r="A381" s="30" t="s">
        <v>33</v>
      </c>
      <c r="B381" s="9" t="s">
        <v>1266</v>
      </c>
      <c r="C381" s="19" t="s">
        <v>1289</v>
      </c>
      <c r="D381" s="22" t="s">
        <v>1298</v>
      </c>
      <c r="E381" s="19" t="s">
        <v>109</v>
      </c>
      <c r="F381" s="19" t="s">
        <v>1291</v>
      </c>
      <c r="G381" s="19" t="s">
        <v>57</v>
      </c>
      <c r="H381" s="24" t="s">
        <v>59</v>
      </c>
      <c r="I381" s="25" t="s">
        <v>1299</v>
      </c>
      <c r="J381" s="19" t="s">
        <v>553</v>
      </c>
      <c r="K381" s="19" t="s">
        <v>139</v>
      </c>
      <c r="L381" s="22"/>
      <c r="M381" s="26"/>
      <c r="N381" s="26"/>
      <c r="O381" s="26"/>
      <c r="P381" s="26"/>
      <c r="Q381" s="26"/>
    </row>
    <row r="382" ht="15.75" hidden="1" customHeight="1">
      <c r="A382" s="30" t="s">
        <v>33</v>
      </c>
      <c r="B382" s="9" t="s">
        <v>1266</v>
      </c>
      <c r="C382" s="19" t="s">
        <v>1289</v>
      </c>
      <c r="D382" s="22" t="s">
        <v>1300</v>
      </c>
      <c r="E382" s="19" t="s">
        <v>109</v>
      </c>
      <c r="F382" s="19" t="s">
        <v>1296</v>
      </c>
      <c r="G382" s="19" t="s">
        <v>57</v>
      </c>
      <c r="H382" s="24" t="s">
        <v>59</v>
      </c>
      <c r="I382" s="25" t="s">
        <v>1301</v>
      </c>
      <c r="J382" s="19" t="s">
        <v>553</v>
      </c>
      <c r="K382" s="19" t="s">
        <v>139</v>
      </c>
      <c r="L382" s="22"/>
      <c r="M382" s="26"/>
      <c r="N382" s="26"/>
      <c r="O382" s="26"/>
      <c r="P382" s="26"/>
      <c r="Q382" s="26"/>
    </row>
    <row r="383" ht="15.75" hidden="1" customHeight="1">
      <c r="A383" s="30" t="s">
        <v>33</v>
      </c>
      <c r="B383" s="9" t="s">
        <v>1266</v>
      </c>
      <c r="C383" s="19" t="s">
        <v>172</v>
      </c>
      <c r="D383" s="22" t="s">
        <v>1302</v>
      </c>
      <c r="E383" s="19" t="s">
        <v>109</v>
      </c>
      <c r="F383" s="19" t="s">
        <v>421</v>
      </c>
      <c r="G383" s="19" t="s">
        <v>57</v>
      </c>
      <c r="H383" s="24" t="s">
        <v>59</v>
      </c>
      <c r="I383" s="25" t="s">
        <v>1303</v>
      </c>
      <c r="J383" s="19"/>
      <c r="K383" s="19" t="s">
        <v>105</v>
      </c>
      <c r="L383" s="22"/>
      <c r="M383" s="26"/>
      <c r="N383" s="26"/>
      <c r="O383" s="26"/>
      <c r="P383" s="26"/>
      <c r="Q383" s="26"/>
    </row>
    <row r="384" ht="15.75" hidden="1" customHeight="1">
      <c r="A384" s="30" t="s">
        <v>33</v>
      </c>
      <c r="B384" s="9" t="s">
        <v>1266</v>
      </c>
      <c r="C384" s="19" t="s">
        <v>172</v>
      </c>
      <c r="D384" s="22" t="s">
        <v>1304</v>
      </c>
      <c r="E384" s="19" t="s">
        <v>109</v>
      </c>
      <c r="F384" s="19" t="s">
        <v>1305</v>
      </c>
      <c r="G384" s="19" t="s">
        <v>146</v>
      </c>
      <c r="H384" s="24" t="s">
        <v>59</v>
      </c>
      <c r="I384" s="25" t="s">
        <v>1306</v>
      </c>
      <c r="J384" s="19" t="s">
        <v>319</v>
      </c>
      <c r="K384" s="19" t="s">
        <v>52</v>
      </c>
      <c r="L384" s="22" t="s">
        <v>1307</v>
      </c>
      <c r="M384" s="26"/>
      <c r="N384" s="26"/>
      <c r="O384" s="26"/>
      <c r="P384" s="26"/>
      <c r="Q384" s="26"/>
    </row>
    <row r="385" ht="15.75" hidden="1" customHeight="1">
      <c r="A385" s="30" t="s">
        <v>33</v>
      </c>
      <c r="B385" s="9" t="s">
        <v>1266</v>
      </c>
      <c r="C385" s="19" t="s">
        <v>172</v>
      </c>
      <c r="D385" s="22" t="s">
        <v>1308</v>
      </c>
      <c r="E385" s="19" t="s">
        <v>109</v>
      </c>
      <c r="F385" s="19" t="s">
        <v>421</v>
      </c>
      <c r="G385" s="19" t="s">
        <v>57</v>
      </c>
      <c r="H385" s="24" t="s">
        <v>59</v>
      </c>
      <c r="I385" s="25" t="s">
        <v>1309</v>
      </c>
      <c r="J385" s="19"/>
      <c r="K385" s="19" t="s">
        <v>105</v>
      </c>
      <c r="L385" s="22"/>
      <c r="M385" s="26"/>
      <c r="N385" s="26"/>
      <c r="O385" s="26"/>
      <c r="P385" s="26"/>
      <c r="Q385" s="26"/>
    </row>
    <row r="386" ht="15.75" hidden="1" customHeight="1">
      <c r="A386" s="30" t="s">
        <v>33</v>
      </c>
      <c r="B386" s="9" t="s">
        <v>1266</v>
      </c>
      <c r="C386" s="19" t="s">
        <v>172</v>
      </c>
      <c r="D386" s="22" t="s">
        <v>1310</v>
      </c>
      <c r="E386" s="19" t="s">
        <v>109</v>
      </c>
      <c r="F386" s="19" t="s">
        <v>421</v>
      </c>
      <c r="G386" s="19" t="s">
        <v>57</v>
      </c>
      <c r="H386" s="24" t="s">
        <v>59</v>
      </c>
      <c r="I386" s="25" t="s">
        <v>1311</v>
      </c>
      <c r="J386" s="19"/>
      <c r="K386" s="19" t="s">
        <v>105</v>
      </c>
      <c r="L386" s="22"/>
      <c r="M386" s="26"/>
      <c r="N386" s="26"/>
      <c r="O386" s="26"/>
      <c r="P386" s="26"/>
      <c r="Q386" s="26"/>
    </row>
    <row r="387" ht="15.75" hidden="1" customHeight="1">
      <c r="A387" s="30" t="s">
        <v>33</v>
      </c>
      <c r="B387" s="9" t="s">
        <v>1266</v>
      </c>
      <c r="C387" s="19" t="s">
        <v>172</v>
      </c>
      <c r="D387" s="22" t="s">
        <v>1312</v>
      </c>
      <c r="E387" s="19" t="s">
        <v>109</v>
      </c>
      <c r="F387" s="19" t="s">
        <v>421</v>
      </c>
      <c r="G387" s="19" t="s">
        <v>57</v>
      </c>
      <c r="H387" s="24" t="s">
        <v>59</v>
      </c>
      <c r="I387" s="25" t="s">
        <v>1313</v>
      </c>
      <c r="J387" s="19" t="s">
        <v>1314</v>
      </c>
      <c r="K387" s="19" t="s">
        <v>105</v>
      </c>
      <c r="L387" s="22"/>
      <c r="M387" s="26"/>
      <c r="N387" s="26"/>
      <c r="O387" s="26"/>
      <c r="P387" s="26"/>
      <c r="Q387" s="26"/>
    </row>
    <row r="388" ht="15.75" hidden="1" customHeight="1">
      <c r="A388" s="30" t="s">
        <v>33</v>
      </c>
      <c r="B388" s="9" t="s">
        <v>1266</v>
      </c>
      <c r="C388" s="19" t="s">
        <v>172</v>
      </c>
      <c r="D388" s="22" t="s">
        <v>1315</v>
      </c>
      <c r="E388" s="19" t="s">
        <v>109</v>
      </c>
      <c r="F388" s="19" t="s">
        <v>421</v>
      </c>
      <c r="G388" s="19" t="s">
        <v>57</v>
      </c>
      <c r="H388" s="24" t="s">
        <v>59</v>
      </c>
      <c r="I388" s="25" t="s">
        <v>1316</v>
      </c>
      <c r="J388" s="19" t="s">
        <v>157</v>
      </c>
      <c r="K388" s="19" t="s">
        <v>152</v>
      </c>
      <c r="L388" s="22" t="s">
        <v>1271</v>
      </c>
      <c r="M388" s="26"/>
      <c r="N388" s="26"/>
      <c r="O388" s="26"/>
      <c r="P388" s="26"/>
      <c r="Q388" s="26"/>
    </row>
    <row r="389" ht="15.75" hidden="1" customHeight="1">
      <c r="A389" s="30" t="s">
        <v>33</v>
      </c>
      <c r="B389" s="9" t="s">
        <v>1266</v>
      </c>
      <c r="C389" s="19" t="s">
        <v>172</v>
      </c>
      <c r="D389" s="22" t="s">
        <v>1317</v>
      </c>
      <c r="E389" s="19" t="s">
        <v>109</v>
      </c>
      <c r="F389" s="19" t="s">
        <v>421</v>
      </c>
      <c r="G389" s="19" t="s">
        <v>57</v>
      </c>
      <c r="H389" s="24" t="s">
        <v>59</v>
      </c>
      <c r="I389" s="25" t="s">
        <v>1318</v>
      </c>
      <c r="J389" s="19"/>
      <c r="K389" s="19" t="s">
        <v>117</v>
      </c>
      <c r="L389" s="22" t="s">
        <v>1319</v>
      </c>
      <c r="M389" s="26"/>
      <c r="N389" s="26"/>
      <c r="O389" s="26"/>
      <c r="P389" s="26"/>
      <c r="Q389" s="26"/>
    </row>
    <row r="390" ht="15.75" hidden="1" customHeight="1">
      <c r="A390" s="30" t="s">
        <v>33</v>
      </c>
      <c r="B390" s="9" t="s">
        <v>1266</v>
      </c>
      <c r="C390" s="19" t="s">
        <v>172</v>
      </c>
      <c r="D390" s="22" t="s">
        <v>1320</v>
      </c>
      <c r="E390" s="19" t="s">
        <v>109</v>
      </c>
      <c r="F390" s="19" t="s">
        <v>421</v>
      </c>
      <c r="G390" s="19" t="s">
        <v>57</v>
      </c>
      <c r="H390" s="24" t="s">
        <v>59</v>
      </c>
      <c r="I390" s="25" t="s">
        <v>1321</v>
      </c>
      <c r="J390" s="19" t="s">
        <v>553</v>
      </c>
      <c r="K390" s="19" t="s">
        <v>139</v>
      </c>
      <c r="L390" s="22"/>
      <c r="M390" s="26"/>
      <c r="N390" s="26"/>
      <c r="O390" s="26"/>
      <c r="P390" s="26"/>
      <c r="Q390" s="26"/>
    </row>
    <row r="391" ht="15.75" hidden="1" customHeight="1">
      <c r="A391" s="30" t="s">
        <v>33</v>
      </c>
      <c r="B391" s="9" t="s">
        <v>1266</v>
      </c>
      <c r="C391" s="19" t="s">
        <v>172</v>
      </c>
      <c r="D391" s="22" t="s">
        <v>1322</v>
      </c>
      <c r="E391" s="19" t="s">
        <v>109</v>
      </c>
      <c r="F391" s="19" t="s">
        <v>421</v>
      </c>
      <c r="G391" s="19" t="s">
        <v>57</v>
      </c>
      <c r="H391" s="24" t="s">
        <v>59</v>
      </c>
      <c r="I391" s="25" t="s">
        <v>1323</v>
      </c>
      <c r="J391" s="19" t="s">
        <v>619</v>
      </c>
      <c r="K391" s="19" t="s">
        <v>105</v>
      </c>
      <c r="L391" s="22"/>
      <c r="M391" s="26"/>
      <c r="N391" s="26"/>
      <c r="O391" s="26"/>
      <c r="P391" s="26"/>
      <c r="Q391" s="26"/>
    </row>
    <row r="392" ht="15.75" hidden="1" customHeight="1">
      <c r="A392" s="30" t="s">
        <v>33</v>
      </c>
      <c r="B392" s="9" t="s">
        <v>1266</v>
      </c>
      <c r="C392" s="19" t="s">
        <v>172</v>
      </c>
      <c r="D392" s="22" t="s">
        <v>1324</v>
      </c>
      <c r="E392" s="19" t="s">
        <v>109</v>
      </c>
      <c r="F392" s="19" t="s">
        <v>421</v>
      </c>
      <c r="G392" s="19" t="s">
        <v>57</v>
      </c>
      <c r="H392" s="24" t="s">
        <v>59</v>
      </c>
      <c r="I392" s="25" t="s">
        <v>1325</v>
      </c>
      <c r="J392" s="19" t="s">
        <v>627</v>
      </c>
      <c r="K392" s="19" t="s">
        <v>110</v>
      </c>
      <c r="L392" s="22"/>
      <c r="M392" s="26"/>
      <c r="N392" s="26"/>
      <c r="O392" s="26"/>
      <c r="P392" s="26"/>
      <c r="Q392" s="26"/>
    </row>
    <row r="393" ht="15.75" hidden="1" customHeight="1">
      <c r="A393" s="30" t="s">
        <v>33</v>
      </c>
      <c r="B393" s="9" t="s">
        <v>1266</v>
      </c>
      <c r="C393" s="19" t="s">
        <v>172</v>
      </c>
      <c r="D393" s="22" t="s">
        <v>1326</v>
      </c>
      <c r="E393" s="19" t="s">
        <v>109</v>
      </c>
      <c r="F393" s="19" t="s">
        <v>421</v>
      </c>
      <c r="G393" s="19" t="s">
        <v>57</v>
      </c>
      <c r="H393" s="24" t="s">
        <v>59</v>
      </c>
      <c r="I393" s="25" t="s">
        <v>1327</v>
      </c>
      <c r="J393" s="19"/>
      <c r="K393" s="19" t="s">
        <v>105</v>
      </c>
      <c r="L393" s="22"/>
      <c r="M393" s="26"/>
      <c r="N393" s="26"/>
      <c r="O393" s="26"/>
      <c r="P393" s="26"/>
      <c r="Q393" s="26"/>
    </row>
    <row r="394" ht="15.75" hidden="1" customHeight="1">
      <c r="A394" s="30" t="s">
        <v>33</v>
      </c>
      <c r="B394" s="9" t="s">
        <v>1266</v>
      </c>
      <c r="C394" s="19" t="s">
        <v>172</v>
      </c>
      <c r="D394" s="22" t="s">
        <v>1328</v>
      </c>
      <c r="E394" s="19" t="s">
        <v>109</v>
      </c>
      <c r="F394" s="19" t="s">
        <v>421</v>
      </c>
      <c r="G394" s="19" t="s">
        <v>57</v>
      </c>
      <c r="H394" s="24" t="s">
        <v>59</v>
      </c>
      <c r="I394" s="25" t="s">
        <v>1329</v>
      </c>
      <c r="J394" s="19" t="s">
        <v>553</v>
      </c>
      <c r="K394" s="19" t="s">
        <v>139</v>
      </c>
      <c r="L394" s="22"/>
      <c r="M394" s="26"/>
      <c r="N394" s="26"/>
      <c r="O394" s="26"/>
      <c r="P394" s="26"/>
      <c r="Q394" s="26"/>
    </row>
    <row r="395" ht="15.75" hidden="1" customHeight="1">
      <c r="A395" s="30" t="s">
        <v>33</v>
      </c>
      <c r="B395" s="9" t="s">
        <v>1266</v>
      </c>
      <c r="C395" s="19" t="s">
        <v>172</v>
      </c>
      <c r="D395" s="22" t="s">
        <v>1330</v>
      </c>
      <c r="E395" s="19" t="s">
        <v>109</v>
      </c>
      <c r="F395" s="19" t="s">
        <v>421</v>
      </c>
      <c r="G395" s="19" t="s">
        <v>57</v>
      </c>
      <c r="H395" s="24" t="s">
        <v>59</v>
      </c>
      <c r="I395" s="25" t="s">
        <v>1329</v>
      </c>
      <c r="J395" s="19" t="s">
        <v>1331</v>
      </c>
      <c r="K395" s="19" t="s">
        <v>139</v>
      </c>
      <c r="L395" s="22"/>
      <c r="M395" s="26"/>
      <c r="N395" s="26"/>
      <c r="O395" s="26"/>
      <c r="P395" s="26"/>
      <c r="Q395" s="26"/>
    </row>
    <row r="396" ht="15.75" hidden="1" customHeight="1">
      <c r="A396" s="30" t="s">
        <v>33</v>
      </c>
      <c r="B396" s="9" t="s">
        <v>1266</v>
      </c>
      <c r="C396" s="19" t="s">
        <v>172</v>
      </c>
      <c r="D396" s="22" t="s">
        <v>1332</v>
      </c>
      <c r="E396" s="19" t="s">
        <v>109</v>
      </c>
      <c r="F396" s="19" t="s">
        <v>421</v>
      </c>
      <c r="G396" s="19" t="s">
        <v>57</v>
      </c>
      <c r="H396" s="24" t="s">
        <v>59</v>
      </c>
      <c r="I396" s="25" t="s">
        <v>1329</v>
      </c>
      <c r="J396" s="19" t="s">
        <v>553</v>
      </c>
      <c r="K396" s="19" t="s">
        <v>139</v>
      </c>
      <c r="L396" s="22"/>
      <c r="M396" s="26"/>
      <c r="N396" s="26"/>
      <c r="O396" s="26"/>
      <c r="P396" s="26"/>
      <c r="Q396" s="26"/>
    </row>
    <row r="397" ht="15.75" hidden="1" customHeight="1">
      <c r="A397" s="30" t="s">
        <v>33</v>
      </c>
      <c r="B397" s="9" t="s">
        <v>1266</v>
      </c>
      <c r="C397" s="19" t="s">
        <v>172</v>
      </c>
      <c r="D397" s="22" t="s">
        <v>1333</v>
      </c>
      <c r="E397" s="19" t="s">
        <v>109</v>
      </c>
      <c r="F397" s="19" t="s">
        <v>421</v>
      </c>
      <c r="G397" s="19" t="s">
        <v>57</v>
      </c>
      <c r="H397" s="24" t="s">
        <v>59</v>
      </c>
      <c r="I397" s="25" t="s">
        <v>1329</v>
      </c>
      <c r="J397" s="19" t="s">
        <v>553</v>
      </c>
      <c r="K397" s="19" t="s">
        <v>139</v>
      </c>
      <c r="L397" s="22"/>
      <c r="M397" s="26"/>
      <c r="N397" s="26"/>
      <c r="O397" s="26"/>
      <c r="P397" s="26"/>
      <c r="Q397" s="26"/>
    </row>
    <row r="398" ht="15.75" hidden="1" customHeight="1">
      <c r="A398" s="30" t="s">
        <v>33</v>
      </c>
      <c r="B398" s="9" t="s">
        <v>1266</v>
      </c>
      <c r="C398" s="19" t="s">
        <v>172</v>
      </c>
      <c r="D398" s="22" t="s">
        <v>1334</v>
      </c>
      <c r="E398" s="19" t="s">
        <v>109</v>
      </c>
      <c r="F398" s="19" t="s">
        <v>421</v>
      </c>
      <c r="G398" s="19" t="s">
        <v>57</v>
      </c>
      <c r="H398" s="24" t="s">
        <v>59</v>
      </c>
      <c r="I398" s="25" t="s">
        <v>1335</v>
      </c>
      <c r="J398" s="19"/>
      <c r="K398" s="19" t="s">
        <v>105</v>
      </c>
      <c r="L398" s="22" t="s">
        <v>1336</v>
      </c>
      <c r="M398" s="26"/>
      <c r="N398" s="26"/>
      <c r="O398" s="26"/>
      <c r="P398" s="26"/>
      <c r="Q398" s="26"/>
    </row>
    <row r="399" ht="15.75" hidden="1" customHeight="1">
      <c r="A399" s="30" t="s">
        <v>33</v>
      </c>
      <c r="B399" s="9" t="s">
        <v>1266</v>
      </c>
      <c r="C399" s="19" t="s">
        <v>84</v>
      </c>
      <c r="D399" s="22" t="s">
        <v>1337</v>
      </c>
      <c r="E399" s="19" t="s">
        <v>109</v>
      </c>
      <c r="F399" s="19" t="s">
        <v>89</v>
      </c>
      <c r="G399" s="19" t="s">
        <v>57</v>
      </c>
      <c r="H399" s="24" t="s">
        <v>59</v>
      </c>
      <c r="I399" s="25" t="s">
        <v>1338</v>
      </c>
      <c r="J399" s="19" t="s">
        <v>619</v>
      </c>
      <c r="K399" s="19" t="s">
        <v>105</v>
      </c>
      <c r="L399" s="22"/>
      <c r="M399" s="26"/>
      <c r="N399" s="26"/>
      <c r="O399" s="26"/>
      <c r="P399" s="26"/>
      <c r="Q399" s="26"/>
    </row>
    <row r="400" ht="15.75" hidden="1" customHeight="1">
      <c r="A400" s="30" t="s">
        <v>33</v>
      </c>
      <c r="B400" s="9" t="s">
        <v>1339</v>
      </c>
      <c r="C400" s="19" t="s">
        <v>492</v>
      </c>
      <c r="D400" s="22" t="s">
        <v>1340</v>
      </c>
      <c r="E400" s="19" t="s">
        <v>109</v>
      </c>
      <c r="F400" s="19" t="s">
        <v>494</v>
      </c>
      <c r="G400" s="19" t="s">
        <v>135</v>
      </c>
      <c r="H400" s="24" t="s">
        <v>59</v>
      </c>
      <c r="I400" s="25" t="s">
        <v>1341</v>
      </c>
      <c r="J400" s="19"/>
      <c r="K400" s="19" t="s">
        <v>234</v>
      </c>
      <c r="L400" s="22" t="s">
        <v>1342</v>
      </c>
      <c r="M400" s="26"/>
      <c r="N400" s="26"/>
      <c r="O400" s="26"/>
      <c r="P400" s="26"/>
      <c r="Q400" s="26"/>
    </row>
    <row r="401" ht="15.75" hidden="1" customHeight="1">
      <c r="A401" s="30" t="s">
        <v>33</v>
      </c>
      <c r="B401" s="9" t="s">
        <v>1339</v>
      </c>
      <c r="C401" s="19" t="s">
        <v>1197</v>
      </c>
      <c r="D401" s="22" t="s">
        <v>1343</v>
      </c>
      <c r="E401" s="19" t="s">
        <v>54</v>
      </c>
      <c r="F401" s="19" t="s">
        <v>858</v>
      </c>
      <c r="G401" s="19" t="s">
        <v>135</v>
      </c>
      <c r="H401" s="22" t="s">
        <v>365</v>
      </c>
      <c r="I401" s="25" t="s">
        <v>1344</v>
      </c>
      <c r="J401" s="19"/>
      <c r="K401" s="19" t="s">
        <v>40</v>
      </c>
      <c r="L401" s="22" t="s">
        <v>1345</v>
      </c>
      <c r="M401" s="26"/>
      <c r="N401" s="26"/>
      <c r="O401" s="26"/>
      <c r="P401" s="26"/>
      <c r="Q401" s="26"/>
    </row>
    <row r="402" ht="15.75" hidden="1" customHeight="1">
      <c r="A402" s="30" t="s">
        <v>33</v>
      </c>
      <c r="B402" s="9" t="s">
        <v>1346</v>
      </c>
      <c r="C402" s="19" t="s">
        <v>1158</v>
      </c>
      <c r="D402" s="22" t="s">
        <v>1347</v>
      </c>
      <c r="E402" s="19" t="s">
        <v>116</v>
      </c>
      <c r="F402" s="19" t="s">
        <v>241</v>
      </c>
      <c r="G402" s="19" t="s">
        <v>57</v>
      </c>
      <c r="H402" s="24" t="s">
        <v>59</v>
      </c>
      <c r="I402" s="25" t="s">
        <v>1348</v>
      </c>
      <c r="J402" s="19" t="s">
        <v>1349</v>
      </c>
      <c r="K402" s="19" t="s">
        <v>66</v>
      </c>
      <c r="L402" s="22"/>
      <c r="M402" s="26"/>
      <c r="N402" s="26"/>
      <c r="O402" s="26"/>
      <c r="P402" s="26"/>
      <c r="Q402" s="26"/>
    </row>
    <row r="403" ht="15.75" customHeight="1">
      <c r="A403" s="30" t="s">
        <v>33</v>
      </c>
      <c r="B403" s="9" t="s">
        <v>1346</v>
      </c>
      <c r="C403" s="19" t="s">
        <v>784</v>
      </c>
      <c r="D403" s="22" t="s">
        <v>1350</v>
      </c>
      <c r="E403" s="19" t="s">
        <v>109</v>
      </c>
      <c r="F403" s="19" t="s">
        <v>335</v>
      </c>
      <c r="G403" s="19" t="s">
        <v>90</v>
      </c>
      <c r="H403" s="24" t="s">
        <v>59</v>
      </c>
      <c r="I403" s="25" t="s">
        <v>1351</v>
      </c>
      <c r="J403" s="19" t="s">
        <v>619</v>
      </c>
      <c r="K403" s="19" t="s">
        <v>92</v>
      </c>
      <c r="L403" s="22"/>
      <c r="M403" s="26"/>
      <c r="N403" s="26"/>
      <c r="O403" s="26"/>
      <c r="P403" s="26"/>
      <c r="Q403" s="26"/>
    </row>
    <row r="404" ht="15.75" customHeight="1">
      <c r="A404" s="30" t="s">
        <v>33</v>
      </c>
      <c r="B404" s="9" t="s">
        <v>1346</v>
      </c>
      <c r="C404" s="19" t="s">
        <v>784</v>
      </c>
      <c r="D404" s="22" t="s">
        <v>1352</v>
      </c>
      <c r="E404" s="19" t="s">
        <v>109</v>
      </c>
      <c r="F404" s="19" t="s">
        <v>335</v>
      </c>
      <c r="G404" s="19" t="s">
        <v>90</v>
      </c>
      <c r="H404" s="24" t="s">
        <v>59</v>
      </c>
      <c r="I404" s="25" t="s">
        <v>1353</v>
      </c>
      <c r="J404" s="19" t="s">
        <v>1354</v>
      </c>
      <c r="K404" s="19" t="s">
        <v>94</v>
      </c>
      <c r="L404" s="22" t="s">
        <v>1355</v>
      </c>
      <c r="M404" s="26"/>
      <c r="N404" s="26"/>
      <c r="O404" s="26"/>
      <c r="P404" s="26"/>
      <c r="Q404" s="26"/>
    </row>
    <row r="405" ht="15.75" customHeight="1">
      <c r="A405" s="30" t="s">
        <v>33</v>
      </c>
      <c r="B405" s="9" t="s">
        <v>1346</v>
      </c>
      <c r="C405" s="19" t="s">
        <v>784</v>
      </c>
      <c r="D405" s="22" t="s">
        <v>1356</v>
      </c>
      <c r="E405" s="19" t="s">
        <v>109</v>
      </c>
      <c r="F405" s="19" t="s">
        <v>335</v>
      </c>
      <c r="G405" s="19" t="s">
        <v>90</v>
      </c>
      <c r="H405" s="24" t="s">
        <v>59</v>
      </c>
      <c r="I405" s="25" t="s">
        <v>1357</v>
      </c>
      <c r="J405" s="19"/>
      <c r="K405" s="19" t="s">
        <v>143</v>
      </c>
      <c r="L405" s="22" t="s">
        <v>1358</v>
      </c>
      <c r="M405" s="26"/>
      <c r="N405" s="26"/>
      <c r="O405" s="26"/>
      <c r="P405" s="26"/>
      <c r="Q405" s="26"/>
    </row>
    <row r="406" ht="15.75" customHeight="1">
      <c r="A406" s="30" t="s">
        <v>33</v>
      </c>
      <c r="B406" s="9" t="s">
        <v>1346</v>
      </c>
      <c r="C406" s="19" t="s">
        <v>784</v>
      </c>
      <c r="D406" s="22" t="s">
        <v>1359</v>
      </c>
      <c r="E406" s="19" t="s">
        <v>109</v>
      </c>
      <c r="F406" s="19" t="s">
        <v>335</v>
      </c>
      <c r="G406" s="19" t="s">
        <v>90</v>
      </c>
      <c r="H406" s="24" t="s">
        <v>59</v>
      </c>
      <c r="I406" s="25" t="s">
        <v>1360</v>
      </c>
      <c r="J406" s="19"/>
      <c r="K406" s="19" t="s">
        <v>112</v>
      </c>
      <c r="L406" s="22"/>
      <c r="M406" s="26"/>
      <c r="N406" s="26"/>
      <c r="O406" s="26"/>
      <c r="P406" s="26"/>
      <c r="Q406" s="26"/>
    </row>
    <row r="407" ht="15.75" customHeight="1">
      <c r="A407" s="30" t="s">
        <v>33</v>
      </c>
      <c r="B407" s="9" t="s">
        <v>1346</v>
      </c>
      <c r="C407" s="19" t="s">
        <v>1050</v>
      </c>
      <c r="D407" s="22" t="s">
        <v>1350</v>
      </c>
      <c r="E407" s="19" t="s">
        <v>109</v>
      </c>
      <c r="F407" s="19" t="s">
        <v>331</v>
      </c>
      <c r="G407" s="19" t="s">
        <v>90</v>
      </c>
      <c r="H407" s="24" t="s">
        <v>59</v>
      </c>
      <c r="I407" s="25" t="s">
        <v>1361</v>
      </c>
      <c r="J407" s="19"/>
      <c r="K407" s="19" t="s">
        <v>125</v>
      </c>
      <c r="L407" s="22"/>
      <c r="M407" s="26"/>
      <c r="N407" s="26"/>
      <c r="O407" s="26"/>
      <c r="P407" s="26"/>
      <c r="Q407" s="26"/>
    </row>
    <row r="408" ht="15.75" hidden="1" customHeight="1">
      <c r="A408" s="30" t="s">
        <v>33</v>
      </c>
      <c r="B408" s="9" t="s">
        <v>1346</v>
      </c>
      <c r="C408" s="19" t="s">
        <v>183</v>
      </c>
      <c r="D408" s="22" t="s">
        <v>1362</v>
      </c>
      <c r="E408" s="19" t="s">
        <v>109</v>
      </c>
      <c r="F408" s="19" t="s">
        <v>295</v>
      </c>
      <c r="G408" s="19" t="s">
        <v>135</v>
      </c>
      <c r="H408" s="24" t="s">
        <v>59</v>
      </c>
      <c r="I408" s="25" t="s">
        <v>1363</v>
      </c>
      <c r="J408" s="19" t="s">
        <v>319</v>
      </c>
      <c r="K408" s="19" t="s">
        <v>13</v>
      </c>
      <c r="L408" s="22" t="s">
        <v>698</v>
      </c>
      <c r="M408" s="26"/>
      <c r="N408" s="26"/>
      <c r="O408" s="26"/>
      <c r="P408" s="26"/>
      <c r="Q408" s="26"/>
    </row>
    <row r="409" ht="15.75" customHeight="1">
      <c r="A409" s="30" t="s">
        <v>33</v>
      </c>
      <c r="B409" s="9" t="s">
        <v>1346</v>
      </c>
      <c r="C409" s="19" t="s">
        <v>1364</v>
      </c>
      <c r="D409" s="22" t="s">
        <v>1365</v>
      </c>
      <c r="E409" s="19" t="s">
        <v>109</v>
      </c>
      <c r="F409" s="19" t="s">
        <v>335</v>
      </c>
      <c r="G409" s="19" t="s">
        <v>90</v>
      </c>
      <c r="H409" s="24" t="s">
        <v>59</v>
      </c>
      <c r="I409" s="25" t="s">
        <v>1366</v>
      </c>
      <c r="J409" s="19"/>
      <c r="K409" s="19" t="s">
        <v>117</v>
      </c>
      <c r="L409" s="22" t="s">
        <v>1367</v>
      </c>
      <c r="M409" s="26"/>
      <c r="N409" s="26"/>
      <c r="O409" s="26"/>
      <c r="P409" s="26"/>
      <c r="Q409" s="26"/>
    </row>
    <row r="410" ht="15.75" customHeight="1">
      <c r="A410" s="30" t="s">
        <v>33</v>
      </c>
      <c r="B410" s="9" t="s">
        <v>1346</v>
      </c>
      <c r="C410" s="19" t="s">
        <v>1364</v>
      </c>
      <c r="D410" s="22" t="s">
        <v>1368</v>
      </c>
      <c r="E410" s="19" t="s">
        <v>109</v>
      </c>
      <c r="F410" s="19" t="s">
        <v>1369</v>
      </c>
      <c r="G410" s="19" t="s">
        <v>90</v>
      </c>
      <c r="H410" s="24" t="s">
        <v>59</v>
      </c>
      <c r="I410" s="25" t="s">
        <v>1370</v>
      </c>
      <c r="J410" s="19" t="s">
        <v>1371</v>
      </c>
      <c r="K410" s="19" t="s">
        <v>114</v>
      </c>
      <c r="L410" s="22"/>
      <c r="M410" s="26"/>
      <c r="N410" s="26"/>
      <c r="O410" s="26"/>
      <c r="P410" s="26"/>
      <c r="Q410" s="26"/>
    </row>
    <row r="411" ht="15.75" hidden="1" customHeight="1">
      <c r="A411" s="30" t="s">
        <v>33</v>
      </c>
      <c r="B411" s="9" t="s">
        <v>1346</v>
      </c>
      <c r="C411" s="19" t="s">
        <v>1372</v>
      </c>
      <c r="D411" s="22" t="s">
        <v>1373</v>
      </c>
      <c r="E411" s="19" t="s">
        <v>116</v>
      </c>
      <c r="F411" s="19" t="s">
        <v>1033</v>
      </c>
      <c r="G411" s="19" t="s">
        <v>57</v>
      </c>
      <c r="H411" s="24" t="s">
        <v>59</v>
      </c>
      <c r="I411" s="25" t="s">
        <v>1374</v>
      </c>
      <c r="J411" s="19"/>
      <c r="K411" s="19" t="s">
        <v>122</v>
      </c>
      <c r="L411" s="22" t="s">
        <v>1375</v>
      </c>
      <c r="M411" s="26"/>
      <c r="N411" s="26"/>
      <c r="O411" s="26"/>
      <c r="P411" s="26"/>
      <c r="Q411" s="26"/>
    </row>
    <row r="412" ht="15.75" customHeight="1">
      <c r="A412" s="30" t="s">
        <v>33</v>
      </c>
      <c r="B412" s="9" t="s">
        <v>1376</v>
      </c>
      <c r="C412" s="19" t="s">
        <v>1377</v>
      </c>
      <c r="D412" s="22" t="s">
        <v>1378</v>
      </c>
      <c r="E412" s="19" t="s">
        <v>116</v>
      </c>
      <c r="F412" s="19" t="s">
        <v>1379</v>
      </c>
      <c r="G412" s="19" t="s">
        <v>90</v>
      </c>
      <c r="H412" s="22" t="s">
        <v>155</v>
      </c>
      <c r="I412" s="25" t="s">
        <v>1380</v>
      </c>
      <c r="J412" s="19"/>
      <c r="K412" s="19" t="s">
        <v>100</v>
      </c>
      <c r="L412" s="22"/>
      <c r="M412" s="26"/>
      <c r="N412" s="26"/>
      <c r="O412" s="26"/>
      <c r="P412" s="26"/>
      <c r="Q412" s="26"/>
    </row>
    <row r="413" ht="15.75" customHeight="1">
      <c r="A413" s="30" t="s">
        <v>33</v>
      </c>
      <c r="B413" s="9" t="s">
        <v>1376</v>
      </c>
      <c r="C413" s="19" t="s">
        <v>1078</v>
      </c>
      <c r="D413" s="22" t="s">
        <v>1381</v>
      </c>
      <c r="E413" s="19" t="s">
        <v>124</v>
      </c>
      <c r="F413" s="19" t="s">
        <v>1382</v>
      </c>
      <c r="G413" s="19" t="s">
        <v>90</v>
      </c>
      <c r="H413" s="24" t="s">
        <v>59</v>
      </c>
      <c r="I413" s="25" t="s">
        <v>1080</v>
      </c>
      <c r="J413" s="19" t="s">
        <v>319</v>
      </c>
      <c r="K413" s="19" t="s">
        <v>52</v>
      </c>
      <c r="L413" s="22" t="s">
        <v>471</v>
      </c>
      <c r="M413" s="26"/>
      <c r="N413" s="26"/>
      <c r="O413" s="26"/>
      <c r="P413" s="26"/>
      <c r="Q413" s="26"/>
    </row>
    <row r="414" ht="15.75" customHeight="1">
      <c r="A414" s="30" t="s">
        <v>33</v>
      </c>
      <c r="B414" s="9" t="s">
        <v>1376</v>
      </c>
      <c r="C414" s="19" t="s">
        <v>1078</v>
      </c>
      <c r="D414" s="22" t="s">
        <v>1083</v>
      </c>
      <c r="E414" s="19" t="s">
        <v>124</v>
      </c>
      <c r="F414" s="19" t="s">
        <v>1382</v>
      </c>
      <c r="G414" s="19" t="s">
        <v>90</v>
      </c>
      <c r="H414" s="24" t="s">
        <v>59</v>
      </c>
      <c r="I414" s="25" t="s">
        <v>1080</v>
      </c>
      <c r="J414" s="19" t="s">
        <v>140</v>
      </c>
      <c r="K414" s="19" t="s">
        <v>114</v>
      </c>
      <c r="L414" s="22"/>
      <c r="M414" s="26"/>
      <c r="N414" s="26"/>
      <c r="O414" s="26"/>
      <c r="P414" s="26"/>
      <c r="Q414" s="26"/>
    </row>
    <row r="415" ht="15.75" hidden="1" customHeight="1">
      <c r="A415" s="30" t="s">
        <v>33</v>
      </c>
      <c r="B415" s="9" t="s">
        <v>1376</v>
      </c>
      <c r="C415" s="19" t="s">
        <v>1383</v>
      </c>
      <c r="D415" s="22" t="s">
        <v>1384</v>
      </c>
      <c r="E415" s="19" t="s">
        <v>88</v>
      </c>
      <c r="F415" s="19" t="s">
        <v>1385</v>
      </c>
      <c r="G415" s="19" t="s">
        <v>57</v>
      </c>
      <c r="H415" s="22" t="s">
        <v>365</v>
      </c>
      <c r="I415" s="25" t="s">
        <v>1386</v>
      </c>
      <c r="J415" s="19" t="s">
        <v>1349</v>
      </c>
      <c r="K415" s="19" t="s">
        <v>82</v>
      </c>
      <c r="L415" s="22" t="s">
        <v>1387</v>
      </c>
      <c r="M415" s="26"/>
      <c r="N415" s="26"/>
      <c r="O415" s="26"/>
      <c r="P415" s="26"/>
      <c r="Q415" s="26"/>
    </row>
    <row r="416" ht="15.75" customHeight="1">
      <c r="A416" s="30" t="s">
        <v>33</v>
      </c>
      <c r="B416" s="9" t="s">
        <v>1376</v>
      </c>
      <c r="C416" s="19" t="s">
        <v>1388</v>
      </c>
      <c r="D416" s="22" t="s">
        <v>1389</v>
      </c>
      <c r="E416" s="19" t="s">
        <v>124</v>
      </c>
      <c r="F416" s="19" t="s">
        <v>1243</v>
      </c>
      <c r="G416" s="19" t="s">
        <v>90</v>
      </c>
      <c r="H416" s="24" t="s">
        <v>59</v>
      </c>
      <c r="I416" s="25" t="s">
        <v>1390</v>
      </c>
      <c r="J416" s="19" t="s">
        <v>811</v>
      </c>
      <c r="K416" s="19" t="s">
        <v>52</v>
      </c>
      <c r="L416" s="22" t="s">
        <v>471</v>
      </c>
      <c r="M416" s="26"/>
      <c r="N416" s="26"/>
      <c r="O416" s="26"/>
      <c r="P416" s="26"/>
      <c r="Q416" s="26"/>
    </row>
    <row r="417" ht="15.75" hidden="1" customHeight="1">
      <c r="A417" s="30" t="s">
        <v>33</v>
      </c>
      <c r="B417" s="9" t="s">
        <v>1376</v>
      </c>
      <c r="C417" s="19" t="s">
        <v>1085</v>
      </c>
      <c r="D417" s="22" t="s">
        <v>1391</v>
      </c>
      <c r="E417" s="19" t="s">
        <v>54</v>
      </c>
      <c r="F417" s="19" t="s">
        <v>1087</v>
      </c>
      <c r="G417" s="19" t="s">
        <v>135</v>
      </c>
      <c r="H417" s="24" t="s">
        <v>59</v>
      </c>
      <c r="I417" s="25" t="s">
        <v>1392</v>
      </c>
      <c r="J417" s="19" t="s">
        <v>95</v>
      </c>
      <c r="K417" s="19" t="s">
        <v>78</v>
      </c>
      <c r="L417" s="22" t="s">
        <v>723</v>
      </c>
      <c r="M417" s="26"/>
      <c r="N417" s="26"/>
      <c r="O417" s="26"/>
      <c r="P417" s="26"/>
      <c r="Q417" s="26"/>
    </row>
    <row r="418" ht="15.75" hidden="1" customHeight="1">
      <c r="A418" s="30" t="s">
        <v>33</v>
      </c>
      <c r="B418" s="9" t="s">
        <v>1376</v>
      </c>
      <c r="C418" s="19" t="s">
        <v>1393</v>
      </c>
      <c r="D418" s="22" t="s">
        <v>1394</v>
      </c>
      <c r="E418" s="19" t="s">
        <v>88</v>
      </c>
      <c r="F418" s="19" t="s">
        <v>1087</v>
      </c>
      <c r="G418" s="19" t="s">
        <v>57</v>
      </c>
      <c r="H418" s="22" t="s">
        <v>365</v>
      </c>
      <c r="I418" s="25" t="s">
        <v>1395</v>
      </c>
      <c r="J418" s="19" t="s">
        <v>1349</v>
      </c>
      <c r="K418" s="19" t="s">
        <v>66</v>
      </c>
      <c r="L418" s="22" t="s">
        <v>1396</v>
      </c>
      <c r="M418" s="26"/>
      <c r="N418" s="26"/>
      <c r="O418" s="26"/>
      <c r="P418" s="26"/>
      <c r="Q418" s="26"/>
    </row>
    <row r="419" ht="15.75" hidden="1" customHeight="1">
      <c r="A419" s="30" t="s">
        <v>33</v>
      </c>
      <c r="B419" s="9" t="s">
        <v>1376</v>
      </c>
      <c r="C419" s="19" t="s">
        <v>1397</v>
      </c>
      <c r="D419" s="22" t="s">
        <v>1398</v>
      </c>
      <c r="E419" s="19" t="s">
        <v>88</v>
      </c>
      <c r="F419" s="19" t="s">
        <v>1220</v>
      </c>
      <c r="G419" s="19" t="s">
        <v>57</v>
      </c>
      <c r="H419" s="22" t="s">
        <v>365</v>
      </c>
      <c r="I419" s="25" t="s">
        <v>1399</v>
      </c>
      <c r="J419" s="19" t="s">
        <v>1400</v>
      </c>
      <c r="K419" s="19" t="s">
        <v>66</v>
      </c>
      <c r="L419" s="22" t="s">
        <v>1401</v>
      </c>
      <c r="M419" s="26"/>
      <c r="N419" s="26"/>
      <c r="O419" s="26"/>
      <c r="P419" s="26"/>
      <c r="Q419" s="26"/>
    </row>
    <row r="420" ht="15.75" hidden="1" customHeight="1">
      <c r="A420" s="30" t="s">
        <v>33</v>
      </c>
      <c r="B420" s="9" t="s">
        <v>1376</v>
      </c>
      <c r="C420" s="19" t="s">
        <v>1402</v>
      </c>
      <c r="D420" s="22" t="s">
        <v>1403</v>
      </c>
      <c r="E420" s="19" t="s">
        <v>54</v>
      </c>
      <c r="F420" s="19" t="s">
        <v>1404</v>
      </c>
      <c r="G420" s="19" t="s">
        <v>135</v>
      </c>
      <c r="H420" s="24" t="s">
        <v>59</v>
      </c>
      <c r="I420" s="25" t="s">
        <v>1405</v>
      </c>
      <c r="J420" s="19" t="s">
        <v>619</v>
      </c>
      <c r="K420" s="19" t="s">
        <v>82</v>
      </c>
      <c r="L420" s="22" t="s">
        <v>1406</v>
      </c>
      <c r="M420" s="26"/>
      <c r="N420" s="26"/>
      <c r="O420" s="26"/>
      <c r="P420" s="26"/>
      <c r="Q420" s="26"/>
    </row>
    <row r="421" ht="15.75" hidden="1" customHeight="1">
      <c r="A421" s="30" t="s">
        <v>33</v>
      </c>
      <c r="B421" s="9" t="s">
        <v>1376</v>
      </c>
      <c r="C421" s="19" t="s">
        <v>1158</v>
      </c>
      <c r="D421" s="22" t="s">
        <v>1407</v>
      </c>
      <c r="E421" s="19" t="s">
        <v>54</v>
      </c>
      <c r="F421" s="19" t="s">
        <v>241</v>
      </c>
      <c r="G421" s="19" t="s">
        <v>135</v>
      </c>
      <c r="H421" s="24" t="s">
        <v>59</v>
      </c>
      <c r="I421" s="25" t="s">
        <v>1408</v>
      </c>
      <c r="J421" s="19"/>
      <c r="K421" s="19" t="s">
        <v>74</v>
      </c>
      <c r="L421" s="22" t="s">
        <v>723</v>
      </c>
      <c r="M421" s="26"/>
      <c r="N421" s="26"/>
      <c r="O421" s="26"/>
      <c r="P421" s="26"/>
      <c r="Q421" s="26"/>
    </row>
    <row r="422" ht="15.75" customHeight="1">
      <c r="A422" s="30" t="s">
        <v>33</v>
      </c>
      <c r="B422" s="9" t="s">
        <v>1376</v>
      </c>
      <c r="C422" s="19" t="s">
        <v>1204</v>
      </c>
      <c r="D422" s="22" t="s">
        <v>1409</v>
      </c>
      <c r="E422" s="19" t="s">
        <v>54</v>
      </c>
      <c r="F422" s="19" t="s">
        <v>1206</v>
      </c>
      <c r="G422" s="19" t="s">
        <v>90</v>
      </c>
      <c r="H422" s="22" t="s">
        <v>365</v>
      </c>
      <c r="I422" s="25" t="s">
        <v>1410</v>
      </c>
      <c r="J422" s="19" t="s">
        <v>319</v>
      </c>
      <c r="K422" s="19" t="s">
        <v>40</v>
      </c>
      <c r="L422" s="22" t="s">
        <v>1411</v>
      </c>
      <c r="M422" s="26"/>
      <c r="N422" s="26"/>
      <c r="O422" s="26"/>
      <c r="P422" s="26"/>
      <c r="Q422" s="26"/>
    </row>
    <row r="423" ht="15.75" hidden="1" customHeight="1">
      <c r="A423" s="30" t="s">
        <v>33</v>
      </c>
      <c r="B423" s="9" t="s">
        <v>1376</v>
      </c>
      <c r="C423" s="19" t="s">
        <v>1412</v>
      </c>
      <c r="D423" s="22" t="s">
        <v>1413</v>
      </c>
      <c r="E423" s="19" t="s">
        <v>54</v>
      </c>
      <c r="F423" s="19" t="s">
        <v>1414</v>
      </c>
      <c r="G423" s="19" t="s">
        <v>135</v>
      </c>
      <c r="H423" s="24" t="s">
        <v>59</v>
      </c>
      <c r="I423" s="25" t="s">
        <v>1415</v>
      </c>
      <c r="J423" s="19" t="s">
        <v>140</v>
      </c>
      <c r="K423" s="19" t="s">
        <v>40</v>
      </c>
      <c r="L423" s="22" t="s">
        <v>1416</v>
      </c>
      <c r="M423" s="26"/>
      <c r="N423" s="26"/>
      <c r="O423" s="26"/>
      <c r="P423" s="26"/>
      <c r="Q423" s="26"/>
    </row>
    <row r="424" ht="15.75" customHeight="1">
      <c r="A424" s="30" t="s">
        <v>33</v>
      </c>
      <c r="B424" s="9" t="s">
        <v>1376</v>
      </c>
      <c r="C424" s="19" t="s">
        <v>1208</v>
      </c>
      <c r="D424" s="22" t="s">
        <v>1417</v>
      </c>
      <c r="E424" s="19" t="s">
        <v>116</v>
      </c>
      <c r="F424" s="19" t="s">
        <v>631</v>
      </c>
      <c r="G424" s="19" t="s">
        <v>90</v>
      </c>
      <c r="H424" s="22" t="s">
        <v>155</v>
      </c>
      <c r="I424" s="25" t="s">
        <v>1418</v>
      </c>
      <c r="J424" s="19"/>
      <c r="K424" s="19" t="s">
        <v>112</v>
      </c>
      <c r="L424" s="22"/>
      <c r="M424" s="26"/>
      <c r="N424" s="26"/>
      <c r="O424" s="26"/>
      <c r="P424" s="26"/>
      <c r="Q424" s="26"/>
    </row>
    <row r="425" ht="15.75" hidden="1" customHeight="1">
      <c r="A425" s="30" t="s">
        <v>33</v>
      </c>
      <c r="B425" s="9" t="s">
        <v>1376</v>
      </c>
      <c r="C425" s="19" t="s">
        <v>1419</v>
      </c>
      <c r="D425" s="22" t="s">
        <v>1420</v>
      </c>
      <c r="E425" s="19" t="s">
        <v>54</v>
      </c>
      <c r="F425" s="19" t="s">
        <v>1062</v>
      </c>
      <c r="G425" s="19" t="s">
        <v>57</v>
      </c>
      <c r="H425" s="22" t="s">
        <v>155</v>
      </c>
      <c r="I425" s="25" t="s">
        <v>1421</v>
      </c>
      <c r="J425" s="19" t="s">
        <v>811</v>
      </c>
      <c r="K425" s="19" t="s">
        <v>110</v>
      </c>
      <c r="L425" s="22"/>
      <c r="M425" s="26"/>
      <c r="N425" s="26"/>
      <c r="O425" s="26"/>
      <c r="P425" s="26"/>
      <c r="Q425" s="26"/>
    </row>
    <row r="426" ht="15.75" customHeight="1">
      <c r="A426" s="30" t="s">
        <v>33</v>
      </c>
      <c r="B426" s="9" t="s">
        <v>1376</v>
      </c>
      <c r="C426" s="19" t="s">
        <v>1272</v>
      </c>
      <c r="D426" s="22" t="s">
        <v>1273</v>
      </c>
      <c r="E426" s="19" t="s">
        <v>54</v>
      </c>
      <c r="F426" s="19" t="s">
        <v>186</v>
      </c>
      <c r="G426" s="19" t="s">
        <v>90</v>
      </c>
      <c r="H426" s="22" t="s">
        <v>365</v>
      </c>
      <c r="I426" s="25" t="s">
        <v>1422</v>
      </c>
      <c r="J426" s="19"/>
      <c r="K426" s="19" t="s">
        <v>249</v>
      </c>
      <c r="L426" s="22" t="s">
        <v>1423</v>
      </c>
      <c r="M426" s="26"/>
      <c r="N426" s="26"/>
      <c r="O426" s="26"/>
      <c r="P426" s="26"/>
      <c r="Q426" s="26"/>
    </row>
    <row r="427" ht="15.75" hidden="1" customHeight="1">
      <c r="A427" s="30" t="s">
        <v>33</v>
      </c>
      <c r="B427" s="9" t="s">
        <v>1376</v>
      </c>
      <c r="C427" s="19" t="s">
        <v>1424</v>
      </c>
      <c r="D427" s="22" t="s">
        <v>1425</v>
      </c>
      <c r="E427" s="19" t="s">
        <v>88</v>
      </c>
      <c r="F427" s="19" t="s">
        <v>186</v>
      </c>
      <c r="G427" s="19" t="s">
        <v>57</v>
      </c>
      <c r="H427" s="22" t="s">
        <v>365</v>
      </c>
      <c r="I427" s="25" t="s">
        <v>1426</v>
      </c>
      <c r="J427" s="19"/>
      <c r="K427" s="19" t="s">
        <v>228</v>
      </c>
      <c r="L427" s="22" t="s">
        <v>1427</v>
      </c>
      <c r="M427" s="26"/>
      <c r="N427" s="26"/>
      <c r="O427" s="26"/>
      <c r="P427" s="26"/>
      <c r="Q427" s="26"/>
    </row>
    <row r="428" ht="15.75" hidden="1" customHeight="1">
      <c r="A428" s="30" t="s">
        <v>33</v>
      </c>
      <c r="B428" s="9" t="s">
        <v>1376</v>
      </c>
      <c r="C428" s="19" t="s">
        <v>1424</v>
      </c>
      <c r="D428" s="22" t="s">
        <v>1428</v>
      </c>
      <c r="E428" s="19" t="s">
        <v>88</v>
      </c>
      <c r="F428" s="19" t="s">
        <v>89</v>
      </c>
      <c r="G428" s="19" t="s">
        <v>57</v>
      </c>
      <c r="H428" s="22" t="s">
        <v>365</v>
      </c>
      <c r="I428" s="25" t="s">
        <v>1429</v>
      </c>
      <c r="J428" s="19"/>
      <c r="K428" s="19" t="s">
        <v>228</v>
      </c>
      <c r="L428" s="22" t="s">
        <v>1430</v>
      </c>
      <c r="M428" s="26"/>
      <c r="N428" s="26"/>
      <c r="O428" s="26"/>
      <c r="P428" s="26"/>
      <c r="Q428" s="26"/>
    </row>
    <row r="429" ht="15.75" hidden="1" customHeight="1">
      <c r="A429" s="30" t="s">
        <v>33</v>
      </c>
      <c r="B429" s="9" t="s">
        <v>1376</v>
      </c>
      <c r="C429" s="19" t="s">
        <v>1431</v>
      </c>
      <c r="D429" s="22" t="s">
        <v>1432</v>
      </c>
      <c r="E429" s="19" t="s">
        <v>88</v>
      </c>
      <c r="F429" s="19" t="s">
        <v>1433</v>
      </c>
      <c r="G429" s="19" t="s">
        <v>57</v>
      </c>
      <c r="H429" s="22" t="s">
        <v>365</v>
      </c>
      <c r="I429" s="25" t="s">
        <v>1434</v>
      </c>
      <c r="J429" s="19" t="s">
        <v>1435</v>
      </c>
      <c r="K429" s="19" t="s">
        <v>82</v>
      </c>
      <c r="L429" s="22" t="s">
        <v>1436</v>
      </c>
      <c r="M429" s="26"/>
      <c r="N429" s="26"/>
      <c r="O429" s="26"/>
      <c r="P429" s="26"/>
      <c r="Q429" s="26"/>
    </row>
    <row r="430" ht="15.75" customHeight="1">
      <c r="A430" s="30" t="s">
        <v>33</v>
      </c>
      <c r="B430" s="9" t="s">
        <v>1376</v>
      </c>
      <c r="C430" s="19" t="s">
        <v>1437</v>
      </c>
      <c r="D430" s="22" t="s">
        <v>1438</v>
      </c>
      <c r="E430" s="19" t="s">
        <v>54</v>
      </c>
      <c r="F430" s="19" t="s">
        <v>1439</v>
      </c>
      <c r="G430" s="19" t="s">
        <v>90</v>
      </c>
      <c r="H430" s="22" t="s">
        <v>365</v>
      </c>
      <c r="I430" s="25" t="s">
        <v>1440</v>
      </c>
      <c r="J430" s="19" t="s">
        <v>456</v>
      </c>
      <c r="K430" s="19" t="s">
        <v>52</v>
      </c>
      <c r="L430" s="22" t="s">
        <v>1441</v>
      </c>
      <c r="M430" s="26"/>
      <c r="N430" s="26"/>
      <c r="O430" s="26"/>
      <c r="P430" s="26"/>
      <c r="Q430" s="26"/>
    </row>
    <row r="431" ht="15.75" hidden="1" customHeight="1">
      <c r="A431" s="30" t="s">
        <v>33</v>
      </c>
      <c r="B431" s="9" t="s">
        <v>1376</v>
      </c>
      <c r="C431" s="19" t="s">
        <v>1442</v>
      </c>
      <c r="D431" s="22" t="s">
        <v>1443</v>
      </c>
      <c r="E431" s="19" t="s">
        <v>88</v>
      </c>
      <c r="F431" s="19" t="s">
        <v>1263</v>
      </c>
      <c r="G431" s="19" t="s">
        <v>57</v>
      </c>
      <c r="H431" s="22" t="s">
        <v>365</v>
      </c>
      <c r="I431" s="25" t="s">
        <v>1444</v>
      </c>
      <c r="J431" s="19" t="s">
        <v>1445</v>
      </c>
      <c r="K431" s="19" t="s">
        <v>66</v>
      </c>
      <c r="L431" s="22" t="s">
        <v>1446</v>
      </c>
      <c r="M431" s="26"/>
      <c r="N431" s="26"/>
      <c r="O431" s="26"/>
      <c r="P431" s="26"/>
      <c r="Q431" s="26"/>
    </row>
    <row r="432" ht="15.75" customHeight="1">
      <c r="A432" s="30" t="s">
        <v>33</v>
      </c>
      <c r="B432" s="9" t="s">
        <v>1376</v>
      </c>
      <c r="C432" s="19" t="s">
        <v>1447</v>
      </c>
      <c r="D432" s="22" t="s">
        <v>791</v>
      </c>
      <c r="E432" s="19" t="s">
        <v>116</v>
      </c>
      <c r="F432" s="19" t="s">
        <v>868</v>
      </c>
      <c r="G432" s="19" t="s">
        <v>90</v>
      </c>
      <c r="H432" s="22" t="s">
        <v>155</v>
      </c>
      <c r="I432" s="25" t="s">
        <v>1448</v>
      </c>
      <c r="J432" s="19" t="s">
        <v>337</v>
      </c>
      <c r="K432" s="19" t="s">
        <v>92</v>
      </c>
      <c r="L432" s="22"/>
      <c r="M432" s="26"/>
      <c r="N432" s="26"/>
      <c r="O432" s="26"/>
      <c r="P432" s="26"/>
      <c r="Q432" s="26"/>
    </row>
    <row r="433" ht="15.75" customHeight="1">
      <c r="A433" s="30" t="s">
        <v>33</v>
      </c>
      <c r="B433" s="9" t="s">
        <v>1376</v>
      </c>
      <c r="C433" s="19" t="s">
        <v>1447</v>
      </c>
      <c r="D433" s="22" t="s">
        <v>1071</v>
      </c>
      <c r="E433" s="19" t="s">
        <v>116</v>
      </c>
      <c r="F433" s="19" t="s">
        <v>868</v>
      </c>
      <c r="G433" s="19" t="s">
        <v>90</v>
      </c>
      <c r="H433" s="22" t="s">
        <v>155</v>
      </c>
      <c r="I433" s="25" t="s">
        <v>1449</v>
      </c>
      <c r="J433" s="19" t="s">
        <v>337</v>
      </c>
      <c r="K433" s="19" t="s">
        <v>92</v>
      </c>
      <c r="L433" s="22"/>
      <c r="M433" s="26"/>
      <c r="N433" s="26"/>
      <c r="O433" s="26"/>
      <c r="P433" s="26"/>
      <c r="Q433" s="26"/>
    </row>
    <row r="434" ht="15.75" hidden="1" customHeight="1">
      <c r="A434" s="30" t="s">
        <v>33</v>
      </c>
      <c r="B434" s="9" t="s">
        <v>1376</v>
      </c>
      <c r="C434" s="19" t="s">
        <v>194</v>
      </c>
      <c r="D434" s="22" t="s">
        <v>1450</v>
      </c>
      <c r="E434" s="19" t="s">
        <v>54</v>
      </c>
      <c r="F434" s="19" t="s">
        <v>1451</v>
      </c>
      <c r="G434" s="19" t="s">
        <v>135</v>
      </c>
      <c r="H434" s="24" t="s">
        <v>59</v>
      </c>
      <c r="I434" s="25" t="s">
        <v>1452</v>
      </c>
      <c r="J434" s="19" t="s">
        <v>140</v>
      </c>
      <c r="K434" s="19" t="s">
        <v>13</v>
      </c>
      <c r="L434" s="22" t="s">
        <v>890</v>
      </c>
      <c r="M434" s="26"/>
      <c r="N434" s="26"/>
      <c r="O434" s="26"/>
      <c r="P434" s="26"/>
      <c r="Q434" s="26"/>
    </row>
    <row r="435" ht="15.75" hidden="1" customHeight="1">
      <c r="A435" s="30" t="s">
        <v>33</v>
      </c>
      <c r="B435" s="9" t="s">
        <v>1376</v>
      </c>
      <c r="C435" s="19" t="s">
        <v>194</v>
      </c>
      <c r="D435" s="22" t="s">
        <v>1061</v>
      </c>
      <c r="E435" s="19" t="s">
        <v>54</v>
      </c>
      <c r="F435" s="19" t="s">
        <v>1382</v>
      </c>
      <c r="G435" s="19" t="s">
        <v>135</v>
      </c>
      <c r="H435" s="24" t="s">
        <v>59</v>
      </c>
      <c r="I435" s="25" t="s">
        <v>1453</v>
      </c>
      <c r="J435" s="19"/>
      <c r="K435" s="19" t="s">
        <v>171</v>
      </c>
      <c r="L435" s="22" t="s">
        <v>1454</v>
      </c>
      <c r="M435" s="26"/>
      <c r="N435" s="26"/>
      <c r="O435" s="26"/>
      <c r="P435" s="26"/>
      <c r="Q435" s="26"/>
    </row>
    <row r="436" ht="15.75" hidden="1" customHeight="1">
      <c r="A436" s="30" t="s">
        <v>33</v>
      </c>
      <c r="B436" s="9" t="s">
        <v>1376</v>
      </c>
      <c r="C436" s="19" t="s">
        <v>194</v>
      </c>
      <c r="D436" s="22" t="s">
        <v>1061</v>
      </c>
      <c r="E436" s="19" t="s">
        <v>54</v>
      </c>
      <c r="F436" s="19" t="s">
        <v>1451</v>
      </c>
      <c r="G436" s="19" t="s">
        <v>135</v>
      </c>
      <c r="H436" s="24" t="s">
        <v>59</v>
      </c>
      <c r="I436" s="25" t="s">
        <v>1455</v>
      </c>
      <c r="J436" s="19"/>
      <c r="K436" s="19" t="s">
        <v>171</v>
      </c>
      <c r="L436" s="22" t="s">
        <v>1454</v>
      </c>
      <c r="M436" s="26"/>
      <c r="N436" s="26"/>
      <c r="O436" s="26"/>
      <c r="P436" s="26"/>
      <c r="Q436" s="26"/>
    </row>
    <row r="437" ht="15.75" hidden="1" customHeight="1">
      <c r="A437" s="30" t="s">
        <v>33</v>
      </c>
      <c r="B437" s="9" t="s">
        <v>1376</v>
      </c>
      <c r="C437" s="19" t="s">
        <v>194</v>
      </c>
      <c r="D437" s="22" t="s">
        <v>1456</v>
      </c>
      <c r="E437" s="19" t="s">
        <v>54</v>
      </c>
      <c r="F437" s="19" t="s">
        <v>1451</v>
      </c>
      <c r="G437" s="19" t="s">
        <v>135</v>
      </c>
      <c r="H437" s="24" t="s">
        <v>59</v>
      </c>
      <c r="I437" s="25" t="s">
        <v>1452</v>
      </c>
      <c r="J437" s="19" t="s">
        <v>140</v>
      </c>
      <c r="K437" s="19" t="s">
        <v>13</v>
      </c>
      <c r="L437" s="22" t="s">
        <v>890</v>
      </c>
      <c r="M437" s="26"/>
      <c r="N437" s="26"/>
      <c r="O437" s="26"/>
      <c r="P437" s="26"/>
      <c r="Q437" s="26"/>
    </row>
    <row r="438" ht="15.75" hidden="1" customHeight="1">
      <c r="A438" s="30" t="s">
        <v>33</v>
      </c>
      <c r="B438" s="9" t="s">
        <v>1376</v>
      </c>
      <c r="C438" s="19" t="s">
        <v>194</v>
      </c>
      <c r="D438" s="22" t="s">
        <v>1456</v>
      </c>
      <c r="E438" s="19" t="s">
        <v>54</v>
      </c>
      <c r="F438" s="19" t="s">
        <v>1382</v>
      </c>
      <c r="G438" s="19" t="s">
        <v>135</v>
      </c>
      <c r="H438" s="24" t="s">
        <v>59</v>
      </c>
      <c r="I438" s="25" t="s">
        <v>1457</v>
      </c>
      <c r="J438" s="19" t="s">
        <v>140</v>
      </c>
      <c r="K438" s="19" t="s">
        <v>13</v>
      </c>
      <c r="L438" s="22" t="s">
        <v>890</v>
      </c>
      <c r="M438" s="26"/>
      <c r="N438" s="26"/>
      <c r="O438" s="26"/>
      <c r="P438" s="26"/>
      <c r="Q438" s="26"/>
    </row>
    <row r="439" ht="15.75" hidden="1" customHeight="1">
      <c r="A439" s="30" t="s">
        <v>33</v>
      </c>
      <c r="B439" s="9" t="s">
        <v>1376</v>
      </c>
      <c r="C439" s="19" t="s">
        <v>194</v>
      </c>
      <c r="D439" s="22" t="s">
        <v>1458</v>
      </c>
      <c r="E439" s="19" t="s">
        <v>54</v>
      </c>
      <c r="F439" s="19" t="s">
        <v>1459</v>
      </c>
      <c r="G439" s="19" t="s">
        <v>135</v>
      </c>
      <c r="H439" s="24" t="s">
        <v>59</v>
      </c>
      <c r="I439" s="25" t="s">
        <v>1460</v>
      </c>
      <c r="J439" s="19"/>
      <c r="K439" s="19" t="s">
        <v>40</v>
      </c>
      <c r="L439" s="22" t="s">
        <v>1461</v>
      </c>
      <c r="M439" s="26"/>
      <c r="N439" s="26"/>
      <c r="O439" s="26"/>
      <c r="P439" s="26"/>
      <c r="Q439" s="26"/>
    </row>
    <row r="440" ht="15.75" customHeight="1">
      <c r="A440" s="30" t="s">
        <v>33</v>
      </c>
      <c r="B440" s="9" t="s">
        <v>1376</v>
      </c>
      <c r="C440" s="19" t="s">
        <v>1462</v>
      </c>
      <c r="D440" s="22" t="s">
        <v>1463</v>
      </c>
      <c r="E440" s="19" t="s">
        <v>54</v>
      </c>
      <c r="F440" s="19" t="s">
        <v>1129</v>
      </c>
      <c r="G440" s="19" t="s">
        <v>90</v>
      </c>
      <c r="H440" s="22" t="s">
        <v>365</v>
      </c>
      <c r="I440" s="25" t="s">
        <v>1464</v>
      </c>
      <c r="J440" s="19"/>
      <c r="K440" s="19" t="s">
        <v>100</v>
      </c>
      <c r="L440" s="22" t="s">
        <v>1465</v>
      </c>
      <c r="M440" s="26"/>
      <c r="N440" s="26"/>
      <c r="O440" s="26"/>
      <c r="P440" s="26"/>
      <c r="Q440" s="26"/>
    </row>
    <row r="441" ht="15.75" hidden="1" customHeight="1">
      <c r="A441" s="30" t="s">
        <v>33</v>
      </c>
      <c r="B441" s="9" t="s">
        <v>1376</v>
      </c>
      <c r="C441" s="19" t="s">
        <v>1466</v>
      </c>
      <c r="D441" s="22" t="s">
        <v>1467</v>
      </c>
      <c r="E441" s="19" t="s">
        <v>54</v>
      </c>
      <c r="F441" s="19" t="s">
        <v>1468</v>
      </c>
      <c r="G441" s="19" t="s">
        <v>146</v>
      </c>
      <c r="H441" s="22" t="s">
        <v>155</v>
      </c>
      <c r="I441" s="25" t="s">
        <v>1469</v>
      </c>
      <c r="J441" s="19"/>
      <c r="K441" s="19" t="s">
        <v>112</v>
      </c>
      <c r="L441" s="22"/>
      <c r="M441" s="26"/>
      <c r="N441" s="26"/>
      <c r="O441" s="26"/>
      <c r="P441" s="26"/>
      <c r="Q441" s="26"/>
    </row>
    <row r="442" ht="15.75" hidden="1" customHeight="1">
      <c r="A442" s="30" t="s">
        <v>33</v>
      </c>
      <c r="B442" s="9" t="s">
        <v>1376</v>
      </c>
      <c r="C442" s="19" t="s">
        <v>1470</v>
      </c>
      <c r="D442" s="22" t="s">
        <v>1471</v>
      </c>
      <c r="E442" s="19" t="s">
        <v>88</v>
      </c>
      <c r="F442" s="19" t="s">
        <v>1472</v>
      </c>
      <c r="G442" s="19" t="s">
        <v>57</v>
      </c>
      <c r="H442" s="22" t="s">
        <v>365</v>
      </c>
      <c r="I442" s="25" t="s">
        <v>1473</v>
      </c>
      <c r="J442" s="19" t="s">
        <v>1445</v>
      </c>
      <c r="K442" s="19" t="s">
        <v>52</v>
      </c>
      <c r="L442" s="22" t="s">
        <v>1474</v>
      </c>
      <c r="M442" s="26"/>
      <c r="N442" s="26"/>
      <c r="O442" s="26"/>
      <c r="P442" s="26"/>
      <c r="Q442" s="26"/>
    </row>
    <row r="443" ht="15.75" hidden="1" customHeight="1">
      <c r="A443" s="30" t="s">
        <v>33</v>
      </c>
      <c r="B443" s="9" t="s">
        <v>1376</v>
      </c>
      <c r="C443" s="19" t="s">
        <v>1475</v>
      </c>
      <c r="D443" s="22" t="s">
        <v>1476</v>
      </c>
      <c r="E443" s="19" t="s">
        <v>54</v>
      </c>
      <c r="F443" s="19" t="s">
        <v>55</v>
      </c>
      <c r="G443" s="19" t="s">
        <v>135</v>
      </c>
      <c r="H443" s="24" t="s">
        <v>59</v>
      </c>
      <c r="I443" s="25" t="s">
        <v>1477</v>
      </c>
      <c r="J443" s="19" t="s">
        <v>226</v>
      </c>
      <c r="K443" s="19" t="s">
        <v>40</v>
      </c>
      <c r="L443" s="22" t="s">
        <v>1478</v>
      </c>
      <c r="M443" s="26"/>
      <c r="N443" s="26"/>
      <c r="O443" s="26"/>
      <c r="P443" s="26"/>
      <c r="Q443" s="26"/>
    </row>
    <row r="444" ht="15.75" hidden="1" customHeight="1">
      <c r="A444" s="30" t="s">
        <v>33</v>
      </c>
      <c r="B444" s="9" t="s">
        <v>1376</v>
      </c>
      <c r="C444" s="19" t="s">
        <v>1479</v>
      </c>
      <c r="D444" s="22" t="s">
        <v>1480</v>
      </c>
      <c r="E444" s="19" t="s">
        <v>54</v>
      </c>
      <c r="F444" s="19" t="s">
        <v>335</v>
      </c>
      <c r="G444" s="19" t="s">
        <v>57</v>
      </c>
      <c r="H444" s="22" t="s">
        <v>365</v>
      </c>
      <c r="I444" s="25" t="s">
        <v>1481</v>
      </c>
      <c r="J444" s="19"/>
      <c r="K444" s="19" t="s">
        <v>40</v>
      </c>
      <c r="L444" s="22" t="s">
        <v>1482</v>
      </c>
      <c r="M444" s="26"/>
      <c r="N444" s="26"/>
      <c r="O444" s="26"/>
      <c r="P444" s="26"/>
      <c r="Q444" s="26"/>
    </row>
    <row r="445" ht="15.75" hidden="1" customHeight="1">
      <c r="A445" s="30" t="s">
        <v>33</v>
      </c>
      <c r="B445" s="9" t="s">
        <v>1376</v>
      </c>
      <c r="C445" s="19" t="s">
        <v>1483</v>
      </c>
      <c r="D445" s="22" t="s">
        <v>1484</v>
      </c>
      <c r="E445" s="19" t="s">
        <v>88</v>
      </c>
      <c r="F445" s="19" t="s">
        <v>494</v>
      </c>
      <c r="G445" s="19" t="s">
        <v>57</v>
      </c>
      <c r="H445" s="22" t="s">
        <v>365</v>
      </c>
      <c r="I445" s="25" t="s">
        <v>1485</v>
      </c>
      <c r="J445" s="19" t="s">
        <v>1371</v>
      </c>
      <c r="K445" s="19" t="s">
        <v>66</v>
      </c>
      <c r="L445" s="22" t="s">
        <v>1486</v>
      </c>
      <c r="M445" s="26"/>
      <c r="N445" s="26"/>
      <c r="O445" s="26"/>
      <c r="P445" s="26"/>
      <c r="Q445" s="26"/>
    </row>
    <row r="446" ht="15.75" hidden="1" customHeight="1">
      <c r="A446" s="30" t="s">
        <v>33</v>
      </c>
      <c r="B446" s="9" t="s">
        <v>1376</v>
      </c>
      <c r="C446" s="19" t="s">
        <v>1487</v>
      </c>
      <c r="D446" s="22" t="s">
        <v>1488</v>
      </c>
      <c r="E446" s="19" t="s">
        <v>88</v>
      </c>
      <c r="F446" s="19" t="s">
        <v>1220</v>
      </c>
      <c r="G446" s="19" t="s">
        <v>57</v>
      </c>
      <c r="H446" s="22" t="s">
        <v>365</v>
      </c>
      <c r="I446" s="25" t="s">
        <v>1489</v>
      </c>
      <c r="J446" s="19" t="s">
        <v>95</v>
      </c>
      <c r="K446" s="19" t="s">
        <v>52</v>
      </c>
      <c r="L446" s="22" t="s">
        <v>1490</v>
      </c>
      <c r="M446" s="26"/>
      <c r="N446" s="26"/>
      <c r="O446" s="26"/>
      <c r="P446" s="26"/>
      <c r="Q446" s="26"/>
    </row>
    <row r="447" ht="15.75" hidden="1" customHeight="1">
      <c r="A447" s="30" t="s">
        <v>33</v>
      </c>
      <c r="B447" s="9" t="s">
        <v>1376</v>
      </c>
      <c r="C447" s="19" t="s">
        <v>1487</v>
      </c>
      <c r="D447" s="22" t="s">
        <v>1491</v>
      </c>
      <c r="E447" s="19" t="s">
        <v>88</v>
      </c>
      <c r="F447" s="19" t="s">
        <v>1220</v>
      </c>
      <c r="G447" s="19" t="s">
        <v>57</v>
      </c>
      <c r="H447" s="22" t="s">
        <v>365</v>
      </c>
      <c r="I447" s="25" t="s">
        <v>1492</v>
      </c>
      <c r="J447" s="19" t="s">
        <v>635</v>
      </c>
      <c r="K447" s="19" t="s">
        <v>66</v>
      </c>
      <c r="L447" s="22" t="s">
        <v>1493</v>
      </c>
      <c r="M447" s="26"/>
      <c r="N447" s="26"/>
      <c r="O447" s="26"/>
      <c r="P447" s="26"/>
      <c r="Q447" s="26"/>
    </row>
    <row r="448" ht="15.75" hidden="1" customHeight="1">
      <c r="A448" s="30" t="s">
        <v>33</v>
      </c>
      <c r="B448" s="9" t="s">
        <v>1376</v>
      </c>
      <c r="C448" s="19" t="s">
        <v>1494</v>
      </c>
      <c r="D448" s="22" t="s">
        <v>1495</v>
      </c>
      <c r="E448" s="19" t="s">
        <v>54</v>
      </c>
      <c r="F448" s="19" t="s">
        <v>241</v>
      </c>
      <c r="G448" s="19" t="s">
        <v>135</v>
      </c>
      <c r="H448" s="24" t="s">
        <v>59</v>
      </c>
      <c r="I448" s="25" t="s">
        <v>1496</v>
      </c>
      <c r="J448" s="19" t="s">
        <v>1211</v>
      </c>
      <c r="K448" s="19" t="s">
        <v>78</v>
      </c>
      <c r="L448" s="22" t="s">
        <v>723</v>
      </c>
      <c r="M448" s="26"/>
      <c r="N448" s="26"/>
      <c r="O448" s="26"/>
      <c r="P448" s="26"/>
      <c r="Q448" s="26"/>
    </row>
    <row r="449" ht="15.75" hidden="1" customHeight="1">
      <c r="A449" s="30" t="s">
        <v>33</v>
      </c>
      <c r="B449" s="9" t="s">
        <v>1376</v>
      </c>
      <c r="C449" s="19" t="s">
        <v>1497</v>
      </c>
      <c r="D449" s="22" t="s">
        <v>1498</v>
      </c>
      <c r="E449" s="19" t="s">
        <v>54</v>
      </c>
      <c r="F449" s="19" t="s">
        <v>135</v>
      </c>
      <c r="G449" s="19" t="s">
        <v>135</v>
      </c>
      <c r="H449" s="24" t="s">
        <v>59</v>
      </c>
      <c r="I449" s="25" t="s">
        <v>1499</v>
      </c>
      <c r="J449" s="19"/>
      <c r="K449" s="19" t="s">
        <v>100</v>
      </c>
      <c r="L449" s="22" t="s">
        <v>1500</v>
      </c>
      <c r="M449" s="26"/>
      <c r="N449" s="26"/>
      <c r="O449" s="26"/>
      <c r="P449" s="26"/>
      <c r="Q449" s="26"/>
    </row>
    <row r="450" ht="15.75" customHeight="1">
      <c r="A450" s="30" t="s">
        <v>33</v>
      </c>
      <c r="B450" s="9" t="s">
        <v>1376</v>
      </c>
      <c r="C450" s="19" t="s">
        <v>1497</v>
      </c>
      <c r="D450" s="22" t="s">
        <v>1501</v>
      </c>
      <c r="E450" s="19" t="s">
        <v>124</v>
      </c>
      <c r="F450" s="19" t="s">
        <v>631</v>
      </c>
      <c r="G450" s="19" t="s">
        <v>90</v>
      </c>
      <c r="H450" s="24" t="s">
        <v>59</v>
      </c>
      <c r="I450" s="25" t="s">
        <v>1502</v>
      </c>
      <c r="J450" s="19"/>
      <c r="K450" s="19" t="s">
        <v>112</v>
      </c>
      <c r="L450" s="22"/>
      <c r="M450" s="26"/>
      <c r="N450" s="26"/>
      <c r="O450" s="26"/>
      <c r="P450" s="26"/>
      <c r="Q450" s="26"/>
    </row>
    <row r="451" ht="15.75" hidden="1" customHeight="1">
      <c r="A451" s="30" t="s">
        <v>33</v>
      </c>
      <c r="B451" s="9" t="s">
        <v>1376</v>
      </c>
      <c r="C451" s="19" t="s">
        <v>1503</v>
      </c>
      <c r="D451" s="22" t="s">
        <v>1504</v>
      </c>
      <c r="E451" s="19" t="s">
        <v>88</v>
      </c>
      <c r="F451" s="19" t="s">
        <v>241</v>
      </c>
      <c r="G451" s="19" t="s">
        <v>57</v>
      </c>
      <c r="H451" s="22" t="s">
        <v>365</v>
      </c>
      <c r="I451" s="25" t="s">
        <v>1505</v>
      </c>
      <c r="J451" s="19" t="s">
        <v>1314</v>
      </c>
      <c r="K451" s="19" t="s">
        <v>105</v>
      </c>
      <c r="L451" s="22" t="s">
        <v>1506</v>
      </c>
      <c r="M451" s="26"/>
      <c r="N451" s="26"/>
      <c r="O451" s="26"/>
      <c r="P451" s="26"/>
      <c r="Q451" s="26"/>
    </row>
    <row r="452" ht="15.75" hidden="1" customHeight="1">
      <c r="A452" s="30" t="s">
        <v>33</v>
      </c>
      <c r="B452" s="9" t="s">
        <v>1376</v>
      </c>
      <c r="C452" s="19" t="s">
        <v>1503</v>
      </c>
      <c r="D452" s="22" t="s">
        <v>1507</v>
      </c>
      <c r="E452" s="19" t="s">
        <v>88</v>
      </c>
      <c r="F452" s="19" t="s">
        <v>241</v>
      </c>
      <c r="G452" s="19" t="s">
        <v>57</v>
      </c>
      <c r="H452" s="22" t="s">
        <v>365</v>
      </c>
      <c r="I452" s="25" t="s">
        <v>1508</v>
      </c>
      <c r="J452" s="19"/>
      <c r="K452" s="19" t="s">
        <v>244</v>
      </c>
      <c r="L452" s="22" t="s">
        <v>1509</v>
      </c>
      <c r="M452" s="26"/>
      <c r="N452" s="26"/>
      <c r="O452" s="26"/>
      <c r="P452" s="26"/>
      <c r="Q452" s="26"/>
    </row>
    <row r="453" ht="15.75" hidden="1" customHeight="1">
      <c r="A453" s="30" t="s">
        <v>33</v>
      </c>
      <c r="B453" s="9" t="s">
        <v>1376</v>
      </c>
      <c r="C453" s="19" t="s">
        <v>1503</v>
      </c>
      <c r="D453" s="22" t="s">
        <v>656</v>
      </c>
      <c r="E453" s="19" t="s">
        <v>88</v>
      </c>
      <c r="F453" s="19" t="s">
        <v>241</v>
      </c>
      <c r="G453" s="19" t="s">
        <v>57</v>
      </c>
      <c r="H453" s="22" t="s">
        <v>365</v>
      </c>
      <c r="I453" s="25" t="s">
        <v>1510</v>
      </c>
      <c r="J453" s="19"/>
      <c r="K453" s="19" t="s">
        <v>105</v>
      </c>
      <c r="L453" s="22" t="s">
        <v>1506</v>
      </c>
      <c r="M453" s="26"/>
      <c r="N453" s="26"/>
      <c r="O453" s="26"/>
      <c r="P453" s="26"/>
      <c r="Q453" s="26"/>
    </row>
    <row r="454" ht="15.75" hidden="1" customHeight="1">
      <c r="A454" s="30" t="s">
        <v>33</v>
      </c>
      <c r="B454" s="9" t="s">
        <v>1376</v>
      </c>
      <c r="C454" s="19" t="s">
        <v>1503</v>
      </c>
      <c r="D454" s="22" t="s">
        <v>1511</v>
      </c>
      <c r="E454" s="19" t="s">
        <v>88</v>
      </c>
      <c r="F454" s="19" t="s">
        <v>241</v>
      </c>
      <c r="G454" s="19" t="s">
        <v>57</v>
      </c>
      <c r="H454" s="22" t="s">
        <v>365</v>
      </c>
      <c r="I454" s="25" t="s">
        <v>1512</v>
      </c>
      <c r="J454" s="19"/>
      <c r="K454" s="19" t="s">
        <v>244</v>
      </c>
      <c r="L454" s="22" t="s">
        <v>1509</v>
      </c>
      <c r="M454" s="26"/>
      <c r="N454" s="26"/>
      <c r="O454" s="26"/>
      <c r="P454" s="26"/>
      <c r="Q454" s="26"/>
    </row>
    <row r="455" ht="15.75" hidden="1" customHeight="1">
      <c r="A455" s="30" t="s">
        <v>33</v>
      </c>
      <c r="B455" s="9" t="s">
        <v>1376</v>
      </c>
      <c r="C455" s="19" t="s">
        <v>1513</v>
      </c>
      <c r="D455" s="22" t="s">
        <v>1514</v>
      </c>
      <c r="E455" s="19" t="s">
        <v>88</v>
      </c>
      <c r="F455" s="19" t="s">
        <v>1291</v>
      </c>
      <c r="G455" s="19" t="s">
        <v>57</v>
      </c>
      <c r="H455" s="22" t="s">
        <v>365</v>
      </c>
      <c r="I455" s="25" t="s">
        <v>1515</v>
      </c>
      <c r="J455" s="19" t="s">
        <v>95</v>
      </c>
      <c r="K455" s="19" t="s">
        <v>52</v>
      </c>
      <c r="L455" s="22" t="s">
        <v>1516</v>
      </c>
      <c r="M455" s="26"/>
      <c r="N455" s="26"/>
      <c r="O455" s="26"/>
      <c r="P455" s="26"/>
      <c r="Q455" s="26"/>
    </row>
    <row r="456" ht="15.75" customHeight="1">
      <c r="A456" s="30" t="s">
        <v>33</v>
      </c>
      <c r="B456" s="9" t="s">
        <v>1376</v>
      </c>
      <c r="C456" s="19" t="s">
        <v>1517</v>
      </c>
      <c r="D456" s="22" t="s">
        <v>1518</v>
      </c>
      <c r="E456" s="19" t="s">
        <v>54</v>
      </c>
      <c r="F456" s="19" t="s">
        <v>1519</v>
      </c>
      <c r="G456" s="19" t="s">
        <v>90</v>
      </c>
      <c r="H456" s="22" t="s">
        <v>365</v>
      </c>
      <c r="I456" s="25" t="s">
        <v>1520</v>
      </c>
      <c r="J456" s="19" t="s">
        <v>456</v>
      </c>
      <c r="K456" s="19" t="s">
        <v>40</v>
      </c>
      <c r="L456" s="22" t="s">
        <v>1521</v>
      </c>
      <c r="M456" s="26"/>
      <c r="N456" s="26"/>
      <c r="O456" s="26"/>
      <c r="P456" s="26"/>
      <c r="Q456" s="26"/>
    </row>
    <row r="457" ht="15.75" customHeight="1">
      <c r="A457" s="30" t="s">
        <v>33</v>
      </c>
      <c r="B457" s="9" t="s">
        <v>1376</v>
      </c>
      <c r="C457" s="19" t="s">
        <v>1517</v>
      </c>
      <c r="D457" s="22" t="s">
        <v>1522</v>
      </c>
      <c r="E457" s="19" t="s">
        <v>54</v>
      </c>
      <c r="F457" s="19" t="s">
        <v>1519</v>
      </c>
      <c r="G457" s="19" t="s">
        <v>90</v>
      </c>
      <c r="H457" s="22" t="s">
        <v>365</v>
      </c>
      <c r="I457" s="25" t="s">
        <v>1523</v>
      </c>
      <c r="J457" s="19" t="s">
        <v>95</v>
      </c>
      <c r="K457" s="19" t="s">
        <v>52</v>
      </c>
      <c r="L457" s="22"/>
      <c r="M457" s="26"/>
      <c r="N457" s="26"/>
      <c r="O457" s="26"/>
      <c r="P457" s="26"/>
      <c r="Q457" s="26"/>
    </row>
    <row r="458" ht="15.75" hidden="1" customHeight="1">
      <c r="A458" s="30" t="s">
        <v>33</v>
      </c>
      <c r="B458" s="9" t="s">
        <v>1376</v>
      </c>
      <c r="C458" s="19" t="s">
        <v>174</v>
      </c>
      <c r="D458" s="22" t="s">
        <v>1524</v>
      </c>
      <c r="E458" s="19" t="s">
        <v>54</v>
      </c>
      <c r="F458" s="19" t="s">
        <v>901</v>
      </c>
      <c r="G458" s="19" t="s">
        <v>135</v>
      </c>
      <c r="H458" s="24" t="s">
        <v>59</v>
      </c>
      <c r="I458" s="25" t="s">
        <v>1525</v>
      </c>
      <c r="J458" s="19"/>
      <c r="K458" s="19" t="s">
        <v>13</v>
      </c>
      <c r="L458" s="22" t="s">
        <v>1526</v>
      </c>
      <c r="M458" s="26"/>
      <c r="N458" s="26"/>
      <c r="O458" s="26"/>
      <c r="P458" s="26"/>
      <c r="Q458" s="26"/>
    </row>
    <row r="459" ht="15.75" hidden="1" customHeight="1">
      <c r="A459" s="30" t="s">
        <v>33</v>
      </c>
      <c r="B459" s="9" t="s">
        <v>1376</v>
      </c>
      <c r="C459" s="19" t="s">
        <v>174</v>
      </c>
      <c r="D459" s="22" t="s">
        <v>1527</v>
      </c>
      <c r="E459" s="19" t="s">
        <v>54</v>
      </c>
      <c r="F459" s="19" t="s">
        <v>901</v>
      </c>
      <c r="G459" s="19" t="s">
        <v>135</v>
      </c>
      <c r="H459" s="24" t="s">
        <v>59</v>
      </c>
      <c r="I459" s="25" t="s">
        <v>1528</v>
      </c>
      <c r="J459" s="19" t="s">
        <v>262</v>
      </c>
      <c r="K459" s="19" t="s">
        <v>40</v>
      </c>
      <c r="L459" s="22" t="s">
        <v>1529</v>
      </c>
      <c r="M459" s="26"/>
      <c r="N459" s="26"/>
      <c r="O459" s="26"/>
      <c r="P459" s="26"/>
      <c r="Q459" s="26"/>
    </row>
    <row r="460" ht="15.75" hidden="1" customHeight="1">
      <c r="A460" s="30" t="s">
        <v>33</v>
      </c>
      <c r="B460" s="9" t="s">
        <v>1376</v>
      </c>
      <c r="C460" s="19" t="s">
        <v>174</v>
      </c>
      <c r="D460" s="22" t="s">
        <v>1530</v>
      </c>
      <c r="E460" s="19" t="s">
        <v>54</v>
      </c>
      <c r="F460" s="19" t="s">
        <v>901</v>
      </c>
      <c r="G460" s="19" t="s">
        <v>135</v>
      </c>
      <c r="H460" s="24" t="s">
        <v>59</v>
      </c>
      <c r="I460" s="25" t="s">
        <v>1531</v>
      </c>
      <c r="J460" s="19" t="s">
        <v>262</v>
      </c>
      <c r="K460" s="19" t="s">
        <v>40</v>
      </c>
      <c r="L460" s="22" t="s">
        <v>1529</v>
      </c>
      <c r="M460" s="26"/>
      <c r="N460" s="26"/>
      <c r="O460" s="26"/>
      <c r="P460" s="26"/>
      <c r="Q460" s="26"/>
    </row>
    <row r="461" ht="15.75" hidden="1" customHeight="1">
      <c r="A461" s="30" t="s">
        <v>33</v>
      </c>
      <c r="B461" s="9" t="s">
        <v>1376</v>
      </c>
      <c r="C461" s="19" t="s">
        <v>1532</v>
      </c>
      <c r="D461" s="22" t="s">
        <v>1533</v>
      </c>
      <c r="E461" s="19" t="s">
        <v>54</v>
      </c>
      <c r="F461" s="19" t="s">
        <v>1293</v>
      </c>
      <c r="G461" s="19" t="s">
        <v>135</v>
      </c>
      <c r="H461" s="24" t="s">
        <v>59</v>
      </c>
      <c r="I461" s="25" t="s">
        <v>1534</v>
      </c>
      <c r="J461" s="19" t="s">
        <v>157</v>
      </c>
      <c r="K461" s="19" t="s">
        <v>152</v>
      </c>
      <c r="L461" s="22" t="s">
        <v>1271</v>
      </c>
      <c r="M461" s="26"/>
      <c r="N461" s="26"/>
      <c r="O461" s="26"/>
      <c r="P461" s="26"/>
      <c r="Q461" s="26"/>
    </row>
    <row r="462" ht="15.75" hidden="1" customHeight="1">
      <c r="A462" s="30" t="s">
        <v>33</v>
      </c>
      <c r="B462" s="9" t="s">
        <v>1376</v>
      </c>
      <c r="C462" s="19" t="s">
        <v>813</v>
      </c>
      <c r="D462" s="22" t="s">
        <v>1535</v>
      </c>
      <c r="E462" s="19" t="s">
        <v>88</v>
      </c>
      <c r="F462" s="19" t="s">
        <v>241</v>
      </c>
      <c r="G462" s="19" t="s">
        <v>57</v>
      </c>
      <c r="H462" s="22" t="s">
        <v>365</v>
      </c>
      <c r="I462" s="25" t="s">
        <v>1536</v>
      </c>
      <c r="J462" s="19" t="s">
        <v>456</v>
      </c>
      <c r="K462" s="19" t="s">
        <v>52</v>
      </c>
      <c r="L462" s="22" t="s">
        <v>1537</v>
      </c>
      <c r="M462" s="26"/>
      <c r="N462" s="26"/>
      <c r="O462" s="26"/>
      <c r="P462" s="26"/>
      <c r="Q462" s="26"/>
    </row>
    <row r="463" ht="15.75" customHeight="1">
      <c r="A463" s="30" t="s">
        <v>33</v>
      </c>
      <c r="B463" s="9" t="s">
        <v>1376</v>
      </c>
      <c r="C463" s="19" t="s">
        <v>1538</v>
      </c>
      <c r="D463" s="22" t="s">
        <v>791</v>
      </c>
      <c r="E463" s="19" t="s">
        <v>116</v>
      </c>
      <c r="F463" s="19" t="s">
        <v>1539</v>
      </c>
      <c r="G463" s="19" t="s">
        <v>90</v>
      </c>
      <c r="H463" s="22" t="s">
        <v>155</v>
      </c>
      <c r="I463" s="25" t="s">
        <v>1540</v>
      </c>
      <c r="J463" s="19"/>
      <c r="K463" s="19" t="s">
        <v>100</v>
      </c>
      <c r="L463" s="22"/>
      <c r="M463" s="26"/>
      <c r="N463" s="26"/>
      <c r="O463" s="26"/>
      <c r="P463" s="26"/>
      <c r="Q463" s="26"/>
    </row>
    <row r="464" ht="15.75" customHeight="1">
      <c r="A464" s="30" t="s">
        <v>33</v>
      </c>
      <c r="B464" s="9" t="s">
        <v>1376</v>
      </c>
      <c r="C464" s="19" t="s">
        <v>1541</v>
      </c>
      <c r="D464" s="22" t="s">
        <v>1542</v>
      </c>
      <c r="E464" s="19" t="s">
        <v>116</v>
      </c>
      <c r="F464" s="19" t="s">
        <v>560</v>
      </c>
      <c r="G464" s="19" t="s">
        <v>90</v>
      </c>
      <c r="H464" s="22" t="s">
        <v>155</v>
      </c>
      <c r="I464" s="25" t="s">
        <v>1543</v>
      </c>
      <c r="J464" s="19"/>
      <c r="K464" s="19" t="s">
        <v>100</v>
      </c>
      <c r="L464" s="22" t="s">
        <v>1544</v>
      </c>
      <c r="M464" s="26"/>
      <c r="N464" s="26"/>
      <c r="O464" s="26"/>
      <c r="P464" s="26"/>
      <c r="Q464" s="26"/>
    </row>
    <row r="465" ht="15.75" hidden="1" customHeight="1">
      <c r="A465" s="30" t="s">
        <v>33</v>
      </c>
      <c r="B465" s="9" t="s">
        <v>1376</v>
      </c>
      <c r="C465" s="19" t="s">
        <v>1259</v>
      </c>
      <c r="D465" s="22" t="s">
        <v>1284</v>
      </c>
      <c r="E465" s="19" t="s">
        <v>88</v>
      </c>
      <c r="F465" s="19" t="s">
        <v>824</v>
      </c>
      <c r="G465" s="19" t="s">
        <v>57</v>
      </c>
      <c r="H465" s="22" t="s">
        <v>365</v>
      </c>
      <c r="I465" s="25" t="s">
        <v>1545</v>
      </c>
      <c r="J465" s="19"/>
      <c r="K465" s="19" t="s">
        <v>162</v>
      </c>
      <c r="L465" s="22" t="s">
        <v>1546</v>
      </c>
      <c r="M465" s="26"/>
      <c r="N465" s="26"/>
      <c r="O465" s="26"/>
      <c r="P465" s="26"/>
      <c r="Q465" s="26"/>
    </row>
    <row r="466" ht="15.75" hidden="1" customHeight="1">
      <c r="A466" s="30" t="s">
        <v>33</v>
      </c>
      <c r="B466" s="9" t="s">
        <v>1547</v>
      </c>
      <c r="C466" s="19" t="s">
        <v>1548</v>
      </c>
      <c r="D466" s="22" t="s">
        <v>1549</v>
      </c>
      <c r="E466" s="19" t="s">
        <v>54</v>
      </c>
      <c r="F466" s="19" t="s">
        <v>335</v>
      </c>
      <c r="G466" s="19" t="s">
        <v>135</v>
      </c>
      <c r="H466" s="22" t="s">
        <v>155</v>
      </c>
      <c r="I466" s="25" t="s">
        <v>1550</v>
      </c>
      <c r="J466" s="19"/>
      <c r="K466" s="19" t="s">
        <v>13</v>
      </c>
      <c r="L466" s="22" t="s">
        <v>1551</v>
      </c>
      <c r="M466" s="26"/>
      <c r="N466" s="26"/>
      <c r="O466" s="26"/>
      <c r="P466" s="26"/>
      <c r="Q466" s="26"/>
    </row>
    <row r="467" ht="15.75" hidden="1" customHeight="1">
      <c r="A467" s="30" t="s">
        <v>33</v>
      </c>
      <c r="B467" s="9" t="s">
        <v>1547</v>
      </c>
      <c r="C467" s="19" t="s">
        <v>1552</v>
      </c>
      <c r="D467" s="22" t="s">
        <v>1553</v>
      </c>
      <c r="E467" s="19" t="s">
        <v>88</v>
      </c>
      <c r="F467" s="19" t="s">
        <v>1554</v>
      </c>
      <c r="G467" s="19" t="s">
        <v>135</v>
      </c>
      <c r="H467" s="22" t="s">
        <v>155</v>
      </c>
      <c r="I467" s="25" t="s">
        <v>1555</v>
      </c>
      <c r="J467" s="19" t="s">
        <v>510</v>
      </c>
      <c r="K467" s="19" t="s">
        <v>94</v>
      </c>
      <c r="L467" s="22" t="s">
        <v>1556</v>
      </c>
      <c r="M467" s="26"/>
      <c r="N467" s="26"/>
      <c r="O467" s="26"/>
      <c r="P467" s="26"/>
      <c r="Q467" s="26"/>
    </row>
    <row r="468" ht="15.75" hidden="1" customHeight="1">
      <c r="A468" s="30" t="s">
        <v>33</v>
      </c>
      <c r="B468" s="9" t="s">
        <v>1547</v>
      </c>
      <c r="C468" s="19" t="s">
        <v>1557</v>
      </c>
      <c r="D468" s="22" t="s">
        <v>1558</v>
      </c>
      <c r="E468" s="19" t="s">
        <v>88</v>
      </c>
      <c r="F468" s="19" t="s">
        <v>241</v>
      </c>
      <c r="G468" s="19" t="s">
        <v>135</v>
      </c>
      <c r="H468" s="22" t="s">
        <v>155</v>
      </c>
      <c r="I468" s="25" t="s">
        <v>1559</v>
      </c>
      <c r="J468" s="19" t="s">
        <v>456</v>
      </c>
      <c r="K468" s="19" t="s">
        <v>78</v>
      </c>
      <c r="L468" s="22" t="s">
        <v>723</v>
      </c>
      <c r="M468" s="26"/>
      <c r="N468" s="26"/>
      <c r="O468" s="26"/>
      <c r="P468" s="26"/>
      <c r="Q468" s="26"/>
    </row>
    <row r="469" ht="15.75" customHeight="1">
      <c r="A469" s="30" t="s">
        <v>33</v>
      </c>
      <c r="B469" s="9" t="s">
        <v>1547</v>
      </c>
      <c r="C469" s="19" t="s">
        <v>1560</v>
      </c>
      <c r="D469" s="22" t="s">
        <v>1561</v>
      </c>
      <c r="E469" s="19" t="s">
        <v>116</v>
      </c>
      <c r="F469" s="19" t="s">
        <v>295</v>
      </c>
      <c r="G469" s="19" t="s">
        <v>90</v>
      </c>
      <c r="H469" s="22" t="s">
        <v>365</v>
      </c>
      <c r="I469" s="25" t="s">
        <v>1562</v>
      </c>
      <c r="J469" s="19"/>
      <c r="K469" s="19" t="s">
        <v>100</v>
      </c>
      <c r="L469" s="22" t="s">
        <v>1563</v>
      </c>
      <c r="M469" s="26"/>
      <c r="N469" s="26"/>
      <c r="O469" s="26"/>
      <c r="P469" s="26"/>
      <c r="Q469" s="26"/>
    </row>
    <row r="470" ht="15.75" hidden="1" customHeight="1">
      <c r="A470" s="30" t="s">
        <v>33</v>
      </c>
      <c r="B470" s="9" t="s">
        <v>1547</v>
      </c>
      <c r="C470" s="19" t="s">
        <v>1564</v>
      </c>
      <c r="D470" s="22" t="s">
        <v>1565</v>
      </c>
      <c r="E470" s="19" t="s">
        <v>88</v>
      </c>
      <c r="F470" s="19" t="s">
        <v>1094</v>
      </c>
      <c r="G470" s="19" t="s">
        <v>135</v>
      </c>
      <c r="H470" s="22" t="s">
        <v>155</v>
      </c>
      <c r="I470" s="25" t="s">
        <v>1566</v>
      </c>
      <c r="J470" s="19"/>
      <c r="K470" s="19" t="s">
        <v>99</v>
      </c>
      <c r="L470" s="22" t="s">
        <v>1567</v>
      </c>
      <c r="M470" s="26"/>
      <c r="N470" s="26"/>
      <c r="O470" s="26"/>
      <c r="P470" s="26"/>
      <c r="Q470" s="26"/>
    </row>
    <row r="471" ht="15.75" hidden="1" customHeight="1">
      <c r="A471" s="30" t="s">
        <v>33</v>
      </c>
      <c r="B471" s="9" t="s">
        <v>1547</v>
      </c>
      <c r="C471" s="19" t="s">
        <v>1568</v>
      </c>
      <c r="D471" s="22" t="s">
        <v>1569</v>
      </c>
      <c r="E471" s="19" t="s">
        <v>54</v>
      </c>
      <c r="F471" s="19" t="s">
        <v>1570</v>
      </c>
      <c r="G471" s="19" t="s">
        <v>142</v>
      </c>
      <c r="H471" s="22" t="s">
        <v>155</v>
      </c>
      <c r="I471" s="25" t="s">
        <v>1571</v>
      </c>
      <c r="J471" s="19" t="s">
        <v>1572</v>
      </c>
      <c r="K471" s="19" t="s">
        <v>177</v>
      </c>
      <c r="L471" s="22" t="s">
        <v>1573</v>
      </c>
      <c r="M471" s="26"/>
      <c r="N471" s="26"/>
      <c r="O471" s="26"/>
      <c r="P471" s="26"/>
      <c r="Q471" s="26"/>
    </row>
    <row r="472" ht="15.75" hidden="1" customHeight="1">
      <c r="A472" s="30" t="s">
        <v>33</v>
      </c>
      <c r="B472" s="9" t="s">
        <v>1547</v>
      </c>
      <c r="C472" s="19" t="s">
        <v>1487</v>
      </c>
      <c r="D472" s="22" t="s">
        <v>1574</v>
      </c>
      <c r="E472" s="19" t="s">
        <v>88</v>
      </c>
      <c r="F472" s="19" t="s">
        <v>1220</v>
      </c>
      <c r="G472" s="19" t="s">
        <v>135</v>
      </c>
      <c r="H472" s="22" t="s">
        <v>155</v>
      </c>
      <c r="I472" s="25" t="s">
        <v>1489</v>
      </c>
      <c r="J472" s="19" t="s">
        <v>456</v>
      </c>
      <c r="K472" s="19" t="s">
        <v>78</v>
      </c>
      <c r="L472" s="22" t="s">
        <v>723</v>
      </c>
      <c r="M472" s="26"/>
      <c r="N472" s="26"/>
      <c r="O472" s="26"/>
      <c r="P472" s="26"/>
      <c r="Q472" s="26"/>
    </row>
    <row r="473" ht="15.75" hidden="1" customHeight="1">
      <c r="A473" s="30" t="s">
        <v>33</v>
      </c>
      <c r="B473" s="9" t="s">
        <v>1547</v>
      </c>
      <c r="C473" s="19" t="s">
        <v>1575</v>
      </c>
      <c r="D473" s="22" t="s">
        <v>1576</v>
      </c>
      <c r="E473" s="19" t="s">
        <v>88</v>
      </c>
      <c r="F473" s="19" t="s">
        <v>55</v>
      </c>
      <c r="G473" s="19" t="s">
        <v>135</v>
      </c>
      <c r="H473" s="22" t="s">
        <v>155</v>
      </c>
      <c r="I473" s="25" t="s">
        <v>1577</v>
      </c>
      <c r="J473" s="19" t="s">
        <v>157</v>
      </c>
      <c r="K473" s="19" t="s">
        <v>94</v>
      </c>
      <c r="L473" s="22" t="s">
        <v>1578</v>
      </c>
      <c r="M473" s="26"/>
      <c r="N473" s="26"/>
      <c r="O473" s="26"/>
      <c r="P473" s="26"/>
      <c r="Q473" s="26"/>
    </row>
    <row r="474" ht="15.75" hidden="1" customHeight="1">
      <c r="A474" s="30" t="s">
        <v>33</v>
      </c>
      <c r="B474" s="9" t="s">
        <v>1547</v>
      </c>
      <c r="C474" s="19" t="s">
        <v>1575</v>
      </c>
      <c r="D474" s="22" t="s">
        <v>1579</v>
      </c>
      <c r="E474" s="19" t="s">
        <v>88</v>
      </c>
      <c r="F474" s="19" t="s">
        <v>55</v>
      </c>
      <c r="G474" s="19" t="s">
        <v>135</v>
      </c>
      <c r="H474" s="22" t="s">
        <v>155</v>
      </c>
      <c r="I474" s="25" t="s">
        <v>1580</v>
      </c>
      <c r="J474" s="19" t="s">
        <v>157</v>
      </c>
      <c r="K474" s="19" t="s">
        <v>94</v>
      </c>
      <c r="L474" s="22" t="s">
        <v>1578</v>
      </c>
      <c r="M474" s="26"/>
      <c r="N474" s="26"/>
      <c r="O474" s="26"/>
      <c r="P474" s="26"/>
      <c r="Q474" s="26"/>
    </row>
    <row r="475" ht="15.75" hidden="1" customHeight="1">
      <c r="A475" s="30" t="s">
        <v>33</v>
      </c>
      <c r="B475" s="9" t="s">
        <v>1547</v>
      </c>
      <c r="C475" s="19" t="s">
        <v>1575</v>
      </c>
      <c r="D475" s="22" t="s">
        <v>1581</v>
      </c>
      <c r="E475" s="19" t="s">
        <v>88</v>
      </c>
      <c r="F475" s="19" t="s">
        <v>55</v>
      </c>
      <c r="G475" s="19" t="s">
        <v>135</v>
      </c>
      <c r="H475" s="22" t="s">
        <v>155</v>
      </c>
      <c r="I475" s="25" t="s">
        <v>1582</v>
      </c>
      <c r="J475" s="19" t="s">
        <v>510</v>
      </c>
      <c r="K475" s="19" t="s">
        <v>94</v>
      </c>
      <c r="L475" s="22" t="s">
        <v>1583</v>
      </c>
      <c r="M475" s="26"/>
      <c r="N475" s="26"/>
      <c r="O475" s="26"/>
      <c r="P475" s="26"/>
      <c r="Q475" s="26"/>
    </row>
    <row r="476" ht="15.75" hidden="1" customHeight="1">
      <c r="A476" s="30" t="s">
        <v>33</v>
      </c>
      <c r="B476" s="9" t="s">
        <v>1547</v>
      </c>
      <c r="C476" s="19" t="s">
        <v>1575</v>
      </c>
      <c r="D476" s="22" t="s">
        <v>1584</v>
      </c>
      <c r="E476" s="19" t="s">
        <v>88</v>
      </c>
      <c r="F476" s="19" t="s">
        <v>55</v>
      </c>
      <c r="G476" s="19" t="s">
        <v>135</v>
      </c>
      <c r="H476" s="22" t="s">
        <v>155</v>
      </c>
      <c r="I476" s="25" t="s">
        <v>1585</v>
      </c>
      <c r="J476" s="19" t="s">
        <v>510</v>
      </c>
      <c r="K476" s="19" t="s">
        <v>94</v>
      </c>
      <c r="L476" s="22" t="s">
        <v>1583</v>
      </c>
      <c r="M476" s="26"/>
      <c r="N476" s="26"/>
      <c r="O476" s="26"/>
      <c r="P476" s="26"/>
      <c r="Q476" s="26"/>
    </row>
    <row r="477" ht="15.75" hidden="1" customHeight="1">
      <c r="A477" s="30" t="s">
        <v>33</v>
      </c>
      <c r="B477" s="9" t="s">
        <v>1547</v>
      </c>
      <c r="C477" s="19" t="s">
        <v>1586</v>
      </c>
      <c r="D477" s="22" t="s">
        <v>1587</v>
      </c>
      <c r="E477" s="19" t="s">
        <v>88</v>
      </c>
      <c r="F477" s="19" t="s">
        <v>55</v>
      </c>
      <c r="G477" s="19" t="s">
        <v>135</v>
      </c>
      <c r="H477" s="22" t="s">
        <v>155</v>
      </c>
      <c r="I477" s="25" t="s">
        <v>1588</v>
      </c>
      <c r="J477" s="19"/>
      <c r="K477" s="19" t="s">
        <v>13</v>
      </c>
      <c r="L477" s="22" t="s">
        <v>1589</v>
      </c>
      <c r="M477" s="26"/>
      <c r="N477" s="26"/>
      <c r="O477" s="26"/>
      <c r="P477" s="26"/>
      <c r="Q477" s="26"/>
    </row>
    <row r="478" ht="15.75" hidden="1" customHeight="1">
      <c r="A478" s="30" t="s">
        <v>33</v>
      </c>
      <c r="B478" s="9" t="s">
        <v>1547</v>
      </c>
      <c r="C478" s="19" t="s">
        <v>1586</v>
      </c>
      <c r="D478" s="22" t="s">
        <v>334</v>
      </c>
      <c r="E478" s="19" t="s">
        <v>88</v>
      </c>
      <c r="F478" s="19" t="s">
        <v>55</v>
      </c>
      <c r="G478" s="19" t="s">
        <v>135</v>
      </c>
      <c r="H478" s="22" t="s">
        <v>155</v>
      </c>
      <c r="I478" s="25" t="s">
        <v>1590</v>
      </c>
      <c r="J478" s="19"/>
      <c r="K478" s="19" t="s">
        <v>13</v>
      </c>
      <c r="L478" s="22" t="s">
        <v>1591</v>
      </c>
      <c r="M478" s="26"/>
      <c r="N478" s="26"/>
      <c r="O478" s="26"/>
      <c r="P478" s="26"/>
      <c r="Q478" s="26"/>
    </row>
    <row r="479" ht="15.75" hidden="1" customHeight="1">
      <c r="A479" s="30" t="s">
        <v>33</v>
      </c>
      <c r="B479" s="9" t="s">
        <v>1547</v>
      </c>
      <c r="C479" s="19" t="s">
        <v>1586</v>
      </c>
      <c r="D479" s="22" t="s">
        <v>1592</v>
      </c>
      <c r="E479" s="19" t="s">
        <v>88</v>
      </c>
      <c r="F479" s="19" t="s">
        <v>55</v>
      </c>
      <c r="G479" s="19" t="s">
        <v>135</v>
      </c>
      <c r="H479" s="22" t="s">
        <v>155</v>
      </c>
      <c r="I479" s="25" t="s">
        <v>1593</v>
      </c>
      <c r="J479" s="19"/>
      <c r="K479" s="19" t="s">
        <v>13</v>
      </c>
      <c r="L479" s="22" t="s">
        <v>1594</v>
      </c>
      <c r="M479" s="26"/>
      <c r="N479" s="26"/>
      <c r="O479" s="26"/>
      <c r="P479" s="26"/>
      <c r="Q479" s="26"/>
    </row>
    <row r="480" ht="15.75" hidden="1" customHeight="1">
      <c r="A480" s="30" t="s">
        <v>33</v>
      </c>
      <c r="B480" s="9" t="s">
        <v>1547</v>
      </c>
      <c r="C480" s="19" t="s">
        <v>845</v>
      </c>
      <c r="D480" s="22" t="s">
        <v>1581</v>
      </c>
      <c r="E480" s="19" t="s">
        <v>88</v>
      </c>
      <c r="F480" s="19" t="s">
        <v>55</v>
      </c>
      <c r="G480" s="19" t="s">
        <v>135</v>
      </c>
      <c r="H480" s="22" t="s">
        <v>155</v>
      </c>
      <c r="I480" s="25" t="s">
        <v>1595</v>
      </c>
      <c r="J480" s="19"/>
      <c r="K480" s="19" t="s">
        <v>143</v>
      </c>
      <c r="L480" s="22" t="s">
        <v>1596</v>
      </c>
      <c r="M480" s="26"/>
      <c r="N480" s="26"/>
      <c r="O480" s="26"/>
      <c r="P480" s="26"/>
      <c r="Q480" s="26"/>
    </row>
    <row r="481" ht="15.75" hidden="1" customHeight="1">
      <c r="A481" s="30" t="s">
        <v>33</v>
      </c>
      <c r="B481" s="9" t="s">
        <v>1547</v>
      </c>
      <c r="C481" s="19" t="s">
        <v>1597</v>
      </c>
      <c r="D481" s="22" t="s">
        <v>1598</v>
      </c>
      <c r="E481" s="19" t="s">
        <v>88</v>
      </c>
      <c r="F481" s="19" t="s">
        <v>1033</v>
      </c>
      <c r="G481" s="19" t="s">
        <v>135</v>
      </c>
      <c r="H481" s="22" t="s">
        <v>155</v>
      </c>
      <c r="I481" s="25" t="s">
        <v>1599</v>
      </c>
      <c r="J481" s="19" t="s">
        <v>262</v>
      </c>
      <c r="K481" s="19" t="s">
        <v>94</v>
      </c>
      <c r="L481" s="22" t="s">
        <v>1600</v>
      </c>
      <c r="M481" s="26"/>
      <c r="N481" s="26"/>
      <c r="O481" s="26"/>
      <c r="P481" s="26"/>
      <c r="Q481" s="26"/>
    </row>
    <row r="482" ht="15.75" hidden="1" customHeight="1">
      <c r="A482" s="30" t="s">
        <v>33</v>
      </c>
      <c r="B482" s="9" t="s">
        <v>1547</v>
      </c>
      <c r="C482" s="19" t="s">
        <v>1601</v>
      </c>
      <c r="D482" s="22" t="s">
        <v>1602</v>
      </c>
      <c r="E482" s="19" t="s">
        <v>88</v>
      </c>
      <c r="F482" s="19" t="s">
        <v>1603</v>
      </c>
      <c r="G482" s="19" t="s">
        <v>135</v>
      </c>
      <c r="H482" s="22" t="s">
        <v>155</v>
      </c>
      <c r="I482" s="25" t="s">
        <v>1604</v>
      </c>
      <c r="J482" s="19"/>
      <c r="K482" s="19" t="s">
        <v>13</v>
      </c>
      <c r="L482" s="22" t="s">
        <v>1605</v>
      </c>
      <c r="M482" s="26"/>
      <c r="N482" s="26"/>
      <c r="O482" s="26"/>
      <c r="P482" s="26"/>
      <c r="Q482" s="26"/>
    </row>
    <row r="483" ht="15.75" hidden="1" customHeight="1">
      <c r="A483" s="30" t="s">
        <v>33</v>
      </c>
      <c r="B483" s="9" t="s">
        <v>1547</v>
      </c>
      <c r="C483" s="19" t="s">
        <v>1606</v>
      </c>
      <c r="D483" s="22" t="s">
        <v>1607</v>
      </c>
      <c r="E483" s="19" t="s">
        <v>88</v>
      </c>
      <c r="F483" s="19" t="s">
        <v>55</v>
      </c>
      <c r="G483" s="19" t="s">
        <v>135</v>
      </c>
      <c r="H483" s="22" t="s">
        <v>155</v>
      </c>
      <c r="I483" s="25" t="s">
        <v>1608</v>
      </c>
      <c r="J483" s="19"/>
      <c r="K483" s="19" t="s">
        <v>13</v>
      </c>
      <c r="L483" s="22" t="s">
        <v>1609</v>
      </c>
      <c r="M483" s="26"/>
      <c r="N483" s="26"/>
      <c r="O483" s="26"/>
      <c r="P483" s="26"/>
      <c r="Q483" s="26"/>
    </row>
    <row r="484" ht="15.75" hidden="1" customHeight="1">
      <c r="A484" s="30" t="s">
        <v>33</v>
      </c>
      <c r="B484" s="9" t="s">
        <v>1610</v>
      </c>
      <c r="C484" s="19" t="s">
        <v>192</v>
      </c>
      <c r="D484" s="22" t="s">
        <v>1611</v>
      </c>
      <c r="E484" s="19" t="s">
        <v>109</v>
      </c>
      <c r="F484" s="19" t="s">
        <v>135</v>
      </c>
      <c r="G484" s="19" t="s">
        <v>135</v>
      </c>
      <c r="H484" s="24" t="s">
        <v>59</v>
      </c>
      <c r="I484" s="25" t="s">
        <v>1612</v>
      </c>
      <c r="J484" s="19"/>
      <c r="K484" s="19" t="s">
        <v>100</v>
      </c>
      <c r="L484" s="22" t="s">
        <v>684</v>
      </c>
      <c r="M484" s="26"/>
      <c r="N484" s="26"/>
      <c r="O484" s="26"/>
      <c r="P484" s="26"/>
      <c r="Q484" s="26"/>
    </row>
    <row r="485" ht="15.75" hidden="1" customHeight="1">
      <c r="A485" s="30" t="s">
        <v>33</v>
      </c>
      <c r="B485" s="9" t="s">
        <v>1610</v>
      </c>
      <c r="C485" s="19" t="s">
        <v>192</v>
      </c>
      <c r="D485" s="22" t="s">
        <v>1611</v>
      </c>
      <c r="E485" s="19" t="s">
        <v>109</v>
      </c>
      <c r="F485" s="19" t="s">
        <v>858</v>
      </c>
      <c r="G485" s="19" t="s">
        <v>135</v>
      </c>
      <c r="H485" s="24" t="s">
        <v>59</v>
      </c>
      <c r="I485" s="25" t="s">
        <v>1613</v>
      </c>
      <c r="J485" s="19" t="s">
        <v>1614</v>
      </c>
      <c r="K485" s="19" t="s">
        <v>94</v>
      </c>
      <c r="L485" s="22" t="s">
        <v>1615</v>
      </c>
      <c r="M485" s="26"/>
      <c r="N485" s="26"/>
      <c r="O485" s="26"/>
      <c r="P485" s="26"/>
      <c r="Q485" s="26"/>
    </row>
    <row r="486" ht="15.75" hidden="1" customHeight="1">
      <c r="A486" s="30" t="s">
        <v>33</v>
      </c>
      <c r="B486" s="9" t="s">
        <v>1610</v>
      </c>
      <c r="C486" s="19" t="s">
        <v>1616</v>
      </c>
      <c r="D486" s="22" t="s">
        <v>1617</v>
      </c>
      <c r="E486" s="19" t="s">
        <v>88</v>
      </c>
      <c r="F486" s="19" t="s">
        <v>295</v>
      </c>
      <c r="G486" s="19" t="s">
        <v>135</v>
      </c>
      <c r="H486" s="22" t="s">
        <v>365</v>
      </c>
      <c r="I486" s="25" t="s">
        <v>1618</v>
      </c>
      <c r="J486" s="19" t="s">
        <v>1314</v>
      </c>
      <c r="K486" s="19" t="s">
        <v>40</v>
      </c>
      <c r="L486" s="22" t="s">
        <v>1619</v>
      </c>
      <c r="M486" s="26"/>
      <c r="N486" s="26"/>
      <c r="O486" s="26"/>
      <c r="P486" s="26"/>
      <c r="Q486" s="26"/>
    </row>
    <row r="487" ht="15.75" hidden="1" customHeight="1">
      <c r="A487" s="30" t="s">
        <v>33</v>
      </c>
      <c r="B487" s="9" t="s">
        <v>1610</v>
      </c>
      <c r="C487" s="19" t="s">
        <v>1483</v>
      </c>
      <c r="D487" s="22" t="s">
        <v>1484</v>
      </c>
      <c r="E487" s="19" t="s">
        <v>88</v>
      </c>
      <c r="F487" s="19" t="s">
        <v>1620</v>
      </c>
      <c r="G487" s="19" t="s">
        <v>135</v>
      </c>
      <c r="H487" s="22" t="s">
        <v>365</v>
      </c>
      <c r="I487" s="25" t="s">
        <v>1485</v>
      </c>
      <c r="J487" s="19" t="s">
        <v>337</v>
      </c>
      <c r="K487" s="19" t="s">
        <v>40</v>
      </c>
      <c r="L487" s="22" t="s">
        <v>1621</v>
      </c>
      <c r="M487" s="26"/>
      <c r="N487" s="26"/>
      <c r="O487" s="26"/>
      <c r="P487" s="26"/>
      <c r="Q487" s="26"/>
    </row>
    <row r="488" ht="15.75" hidden="1" customHeight="1">
      <c r="A488" s="30" t="s">
        <v>33</v>
      </c>
      <c r="B488" s="9" t="s">
        <v>1610</v>
      </c>
      <c r="C488" s="19" t="s">
        <v>179</v>
      </c>
      <c r="D488" s="22" t="s">
        <v>1622</v>
      </c>
      <c r="E488" s="19" t="s">
        <v>109</v>
      </c>
      <c r="F488" s="19" t="s">
        <v>1160</v>
      </c>
      <c r="G488" s="19" t="s">
        <v>142</v>
      </c>
      <c r="H488" s="24" t="s">
        <v>59</v>
      </c>
      <c r="I488" s="25" t="s">
        <v>1623</v>
      </c>
      <c r="J488" s="19"/>
      <c r="K488" s="19" t="s">
        <v>105</v>
      </c>
      <c r="L488" s="22" t="s">
        <v>1624</v>
      </c>
      <c r="M488" s="26"/>
      <c r="N488" s="26"/>
      <c r="O488" s="26"/>
      <c r="P488" s="26"/>
      <c r="Q488" s="26"/>
    </row>
    <row r="489" ht="15.75" hidden="1" customHeight="1">
      <c r="A489" s="30" t="s">
        <v>33</v>
      </c>
      <c r="B489" s="9" t="s">
        <v>1610</v>
      </c>
      <c r="C489" s="19" t="s">
        <v>179</v>
      </c>
      <c r="D489" s="22" t="s">
        <v>1625</v>
      </c>
      <c r="E489" s="19" t="s">
        <v>109</v>
      </c>
      <c r="F489" s="19" t="s">
        <v>1160</v>
      </c>
      <c r="G489" s="19" t="s">
        <v>142</v>
      </c>
      <c r="H489" s="24" t="s">
        <v>59</v>
      </c>
      <c r="I489" s="25" t="s">
        <v>1626</v>
      </c>
      <c r="J489" s="19" t="s">
        <v>619</v>
      </c>
      <c r="K489" s="19" t="s">
        <v>105</v>
      </c>
      <c r="L489" s="22" t="s">
        <v>1627</v>
      </c>
      <c r="M489" s="26"/>
      <c r="N489" s="26"/>
      <c r="O489" s="26"/>
      <c r="P489" s="26"/>
      <c r="Q489" s="26"/>
    </row>
    <row r="490" ht="15.75" hidden="1" customHeight="1">
      <c r="A490" s="30" t="s">
        <v>33</v>
      </c>
      <c r="B490" s="9" t="s">
        <v>1610</v>
      </c>
      <c r="C490" s="19" t="s">
        <v>179</v>
      </c>
      <c r="D490" s="22" t="s">
        <v>1628</v>
      </c>
      <c r="E490" s="19" t="s">
        <v>109</v>
      </c>
      <c r="F490" s="19" t="s">
        <v>1160</v>
      </c>
      <c r="G490" s="19" t="s">
        <v>142</v>
      </c>
      <c r="H490" s="24" t="s">
        <v>59</v>
      </c>
      <c r="I490" s="25" t="s">
        <v>1629</v>
      </c>
      <c r="J490" s="19"/>
      <c r="K490" s="19" t="s">
        <v>105</v>
      </c>
      <c r="L490" s="22" t="s">
        <v>1630</v>
      </c>
      <c r="M490" s="26"/>
      <c r="N490" s="26"/>
      <c r="O490" s="26"/>
      <c r="P490" s="26"/>
      <c r="Q490" s="26"/>
    </row>
    <row r="491" ht="15.75" hidden="1" customHeight="1">
      <c r="A491" s="30" t="s">
        <v>33</v>
      </c>
      <c r="B491" s="9" t="s">
        <v>1610</v>
      </c>
      <c r="C491" s="19" t="s">
        <v>179</v>
      </c>
      <c r="D491" s="22" t="s">
        <v>656</v>
      </c>
      <c r="E491" s="19" t="s">
        <v>109</v>
      </c>
      <c r="F491" s="19" t="s">
        <v>1160</v>
      </c>
      <c r="G491" s="19" t="s">
        <v>142</v>
      </c>
      <c r="H491" s="24" t="s">
        <v>59</v>
      </c>
      <c r="I491" s="25" t="s">
        <v>1631</v>
      </c>
      <c r="J491" s="19"/>
      <c r="K491" s="19" t="s">
        <v>105</v>
      </c>
      <c r="L491" s="22" t="s">
        <v>1180</v>
      </c>
      <c r="M491" s="26"/>
      <c r="N491" s="26"/>
      <c r="O491" s="26"/>
      <c r="P491" s="26"/>
      <c r="Q491" s="26"/>
    </row>
    <row r="492" ht="15.75" hidden="1" customHeight="1">
      <c r="A492" s="30" t="s">
        <v>33</v>
      </c>
      <c r="B492" s="9" t="s">
        <v>1610</v>
      </c>
      <c r="C492" s="19" t="s">
        <v>179</v>
      </c>
      <c r="D492" s="22" t="s">
        <v>656</v>
      </c>
      <c r="E492" s="19" t="s">
        <v>109</v>
      </c>
      <c r="F492" s="19" t="s">
        <v>421</v>
      </c>
      <c r="G492" s="19" t="s">
        <v>142</v>
      </c>
      <c r="H492" s="24" t="s">
        <v>59</v>
      </c>
      <c r="I492" s="25" t="s">
        <v>1632</v>
      </c>
      <c r="J492" s="19"/>
      <c r="K492" s="19" t="s">
        <v>105</v>
      </c>
      <c r="L492" s="22" t="s">
        <v>1180</v>
      </c>
      <c r="M492" s="26"/>
      <c r="N492" s="26"/>
      <c r="O492" s="26"/>
      <c r="P492" s="26"/>
      <c r="Q492" s="26"/>
    </row>
    <row r="493" ht="15.75" hidden="1" customHeight="1">
      <c r="A493" s="30" t="s">
        <v>33</v>
      </c>
      <c r="B493" s="9" t="s">
        <v>1610</v>
      </c>
      <c r="C493" s="19" t="s">
        <v>179</v>
      </c>
      <c r="D493" s="22" t="s">
        <v>656</v>
      </c>
      <c r="E493" s="19" t="s">
        <v>109</v>
      </c>
      <c r="F493" s="19" t="s">
        <v>1633</v>
      </c>
      <c r="G493" s="19" t="s">
        <v>142</v>
      </c>
      <c r="H493" s="24" t="s">
        <v>59</v>
      </c>
      <c r="I493" s="25" t="s">
        <v>1634</v>
      </c>
      <c r="J493" s="19"/>
      <c r="K493" s="19" t="s">
        <v>105</v>
      </c>
      <c r="L493" s="22" t="s">
        <v>1180</v>
      </c>
      <c r="M493" s="26"/>
      <c r="N493" s="26"/>
      <c r="O493" s="26"/>
      <c r="P493" s="26"/>
      <c r="Q493" s="26"/>
    </row>
    <row r="494" ht="15.75" hidden="1" customHeight="1">
      <c r="A494" s="30" t="s">
        <v>33</v>
      </c>
      <c r="B494" s="9" t="s">
        <v>1610</v>
      </c>
      <c r="C494" s="19" t="s">
        <v>179</v>
      </c>
      <c r="D494" s="22" t="s">
        <v>1183</v>
      </c>
      <c r="E494" s="19" t="s">
        <v>109</v>
      </c>
      <c r="F494" s="19" t="s">
        <v>1160</v>
      </c>
      <c r="G494" s="19" t="s">
        <v>142</v>
      </c>
      <c r="H494" s="24" t="s">
        <v>59</v>
      </c>
      <c r="I494" s="25" t="s">
        <v>953</v>
      </c>
      <c r="J494" s="19"/>
      <c r="K494" s="19" t="s">
        <v>105</v>
      </c>
      <c r="L494" s="22" t="s">
        <v>1185</v>
      </c>
      <c r="M494" s="26"/>
      <c r="N494" s="26"/>
      <c r="O494" s="26"/>
      <c r="P494" s="26"/>
      <c r="Q494" s="26"/>
    </row>
    <row r="495" ht="15.75" hidden="1" customHeight="1">
      <c r="A495" s="30" t="s">
        <v>33</v>
      </c>
      <c r="B495" s="9" t="s">
        <v>1610</v>
      </c>
      <c r="C495" s="19" t="s">
        <v>179</v>
      </c>
      <c r="D495" s="22" t="s">
        <v>1186</v>
      </c>
      <c r="E495" s="19" t="s">
        <v>109</v>
      </c>
      <c r="F495" s="19" t="s">
        <v>421</v>
      </c>
      <c r="G495" s="19" t="s">
        <v>142</v>
      </c>
      <c r="H495" s="24" t="s">
        <v>59</v>
      </c>
      <c r="I495" s="25" t="s">
        <v>1635</v>
      </c>
      <c r="J495" s="19"/>
      <c r="K495" s="19" t="s">
        <v>105</v>
      </c>
      <c r="L495" s="22" t="s">
        <v>1180</v>
      </c>
      <c r="M495" s="26"/>
      <c r="N495" s="26"/>
      <c r="O495" s="26"/>
      <c r="P495" s="26"/>
      <c r="Q495" s="26"/>
    </row>
    <row r="496" ht="15.75" hidden="1" customHeight="1">
      <c r="A496" s="30" t="s">
        <v>33</v>
      </c>
      <c r="B496" s="9" t="s">
        <v>1610</v>
      </c>
      <c r="C496" s="19" t="s">
        <v>179</v>
      </c>
      <c r="D496" s="22" t="s">
        <v>1188</v>
      </c>
      <c r="E496" s="19" t="s">
        <v>109</v>
      </c>
      <c r="F496" s="19" t="s">
        <v>103</v>
      </c>
      <c r="G496" s="19" t="s">
        <v>142</v>
      </c>
      <c r="H496" s="24" t="s">
        <v>59</v>
      </c>
      <c r="I496" s="25" t="s">
        <v>1636</v>
      </c>
      <c r="J496" s="19"/>
      <c r="K496" s="19" t="s">
        <v>105</v>
      </c>
      <c r="L496" s="22" t="s">
        <v>1180</v>
      </c>
      <c r="M496" s="26"/>
      <c r="N496" s="26"/>
      <c r="O496" s="26"/>
      <c r="P496" s="26"/>
      <c r="Q496" s="26"/>
    </row>
    <row r="497" ht="15.75" hidden="1" customHeight="1">
      <c r="A497" s="30" t="s">
        <v>33</v>
      </c>
      <c r="B497" s="9" t="s">
        <v>1610</v>
      </c>
      <c r="C497" s="19" t="s">
        <v>179</v>
      </c>
      <c r="D497" s="22" t="s">
        <v>1188</v>
      </c>
      <c r="E497" s="19" t="s">
        <v>109</v>
      </c>
      <c r="F497" s="19" t="s">
        <v>1160</v>
      </c>
      <c r="G497" s="19" t="s">
        <v>142</v>
      </c>
      <c r="H497" s="24" t="s">
        <v>59</v>
      </c>
      <c r="I497" s="25" t="s">
        <v>1637</v>
      </c>
      <c r="J497" s="19"/>
      <c r="K497" s="19" t="s">
        <v>105</v>
      </c>
      <c r="L497" s="22" t="s">
        <v>1180</v>
      </c>
      <c r="M497" s="26"/>
      <c r="N497" s="26"/>
      <c r="O497" s="26"/>
      <c r="P497" s="26"/>
      <c r="Q497" s="26"/>
    </row>
    <row r="498" ht="15.75" hidden="1" customHeight="1">
      <c r="A498" s="30" t="s">
        <v>33</v>
      </c>
      <c r="B498" s="9" t="s">
        <v>1610</v>
      </c>
      <c r="C498" s="19" t="s">
        <v>179</v>
      </c>
      <c r="D498" s="22" t="s">
        <v>1638</v>
      </c>
      <c r="E498" s="19" t="s">
        <v>109</v>
      </c>
      <c r="F498" s="19" t="s">
        <v>868</v>
      </c>
      <c r="G498" s="19" t="s">
        <v>135</v>
      </c>
      <c r="H498" s="24" t="s">
        <v>59</v>
      </c>
      <c r="I498" s="25" t="s">
        <v>1639</v>
      </c>
      <c r="J498" s="19"/>
      <c r="K498" s="19" t="s">
        <v>143</v>
      </c>
      <c r="L498" s="22" t="s">
        <v>1640</v>
      </c>
      <c r="M498" s="26"/>
      <c r="N498" s="26"/>
      <c r="O498" s="26"/>
      <c r="P498" s="26"/>
      <c r="Q498" s="26"/>
    </row>
    <row r="499" ht="15.75" hidden="1" customHeight="1">
      <c r="A499" s="30" t="s">
        <v>33</v>
      </c>
      <c r="B499" s="9" t="s">
        <v>1610</v>
      </c>
      <c r="C499" s="19" t="s">
        <v>179</v>
      </c>
      <c r="D499" s="22" t="s">
        <v>1641</v>
      </c>
      <c r="E499" s="19" t="s">
        <v>109</v>
      </c>
      <c r="F499" s="19" t="s">
        <v>1160</v>
      </c>
      <c r="G499" s="19" t="s">
        <v>135</v>
      </c>
      <c r="H499" s="24" t="s">
        <v>59</v>
      </c>
      <c r="I499" s="25" t="s">
        <v>1642</v>
      </c>
      <c r="J499" s="19"/>
      <c r="K499" s="19" t="s">
        <v>137</v>
      </c>
      <c r="L499" s="22" t="s">
        <v>1643</v>
      </c>
      <c r="M499" s="26"/>
      <c r="N499" s="26"/>
      <c r="O499" s="26"/>
      <c r="P499" s="26"/>
      <c r="Q499" s="26"/>
    </row>
    <row r="500" ht="15.75" hidden="1" customHeight="1">
      <c r="A500" s="30" t="s">
        <v>33</v>
      </c>
      <c r="B500" s="9" t="s">
        <v>1610</v>
      </c>
      <c r="C500" s="19" t="s">
        <v>172</v>
      </c>
      <c r="D500" s="22" t="s">
        <v>1644</v>
      </c>
      <c r="E500" s="19" t="s">
        <v>109</v>
      </c>
      <c r="F500" s="19" t="s">
        <v>421</v>
      </c>
      <c r="G500" s="19" t="s">
        <v>135</v>
      </c>
      <c r="H500" s="24" t="s">
        <v>59</v>
      </c>
      <c r="I500" s="25" t="s">
        <v>1645</v>
      </c>
      <c r="J500" s="19" t="s">
        <v>140</v>
      </c>
      <c r="K500" s="19" t="s">
        <v>13</v>
      </c>
      <c r="L500" s="22"/>
      <c r="M500" s="26"/>
      <c r="N500" s="26"/>
      <c r="O500" s="26"/>
      <c r="P500" s="26"/>
      <c r="Q500" s="26"/>
    </row>
    <row r="501" ht="15.75" hidden="1" customHeight="1">
      <c r="A501" s="30" t="s">
        <v>33</v>
      </c>
      <c r="B501" s="9" t="s">
        <v>1610</v>
      </c>
      <c r="C501" s="19" t="s">
        <v>172</v>
      </c>
      <c r="D501" s="22" t="s">
        <v>1646</v>
      </c>
      <c r="E501" s="19" t="s">
        <v>109</v>
      </c>
      <c r="F501" s="19" t="s">
        <v>421</v>
      </c>
      <c r="G501" s="19" t="s">
        <v>135</v>
      </c>
      <c r="H501" s="24" t="s">
        <v>59</v>
      </c>
      <c r="I501" s="25" t="s">
        <v>1647</v>
      </c>
      <c r="J501" s="19" t="s">
        <v>140</v>
      </c>
      <c r="K501" s="19" t="s">
        <v>13</v>
      </c>
      <c r="L501" s="22"/>
      <c r="M501" s="26"/>
      <c r="N501" s="26"/>
      <c r="O501" s="26"/>
      <c r="P501" s="26"/>
      <c r="Q501" s="26"/>
    </row>
    <row r="502" ht="15.75" hidden="1" customHeight="1">
      <c r="A502" s="30" t="s">
        <v>33</v>
      </c>
      <c r="B502" s="9" t="s">
        <v>1610</v>
      </c>
      <c r="C502" s="19" t="s">
        <v>172</v>
      </c>
      <c r="D502" s="22" t="s">
        <v>1648</v>
      </c>
      <c r="E502" s="19" t="s">
        <v>109</v>
      </c>
      <c r="F502" s="19" t="s">
        <v>1033</v>
      </c>
      <c r="G502" s="19" t="s">
        <v>135</v>
      </c>
      <c r="H502" s="24" t="s">
        <v>59</v>
      </c>
      <c r="I502" s="25" t="s">
        <v>1649</v>
      </c>
      <c r="J502" s="19"/>
      <c r="K502" s="19" t="s">
        <v>199</v>
      </c>
      <c r="L502" s="22"/>
      <c r="M502" s="26"/>
      <c r="N502" s="26"/>
      <c r="O502" s="26"/>
      <c r="P502" s="26"/>
      <c r="Q502" s="26"/>
    </row>
    <row r="503" ht="15.75" hidden="1" customHeight="1">
      <c r="A503" s="30" t="s">
        <v>33</v>
      </c>
      <c r="B503" s="9" t="s">
        <v>1610</v>
      </c>
      <c r="C503" s="19" t="s">
        <v>172</v>
      </c>
      <c r="D503" s="22" t="s">
        <v>1650</v>
      </c>
      <c r="E503" s="19" t="s">
        <v>109</v>
      </c>
      <c r="F503" s="19" t="s">
        <v>421</v>
      </c>
      <c r="G503" s="19" t="s">
        <v>135</v>
      </c>
      <c r="H503" s="24" t="s">
        <v>59</v>
      </c>
      <c r="I503" s="25" t="s">
        <v>1651</v>
      </c>
      <c r="J503" s="19" t="s">
        <v>140</v>
      </c>
      <c r="K503" s="19" t="s">
        <v>13</v>
      </c>
      <c r="L503" s="22" t="s">
        <v>1652</v>
      </c>
      <c r="M503" s="26"/>
      <c r="N503" s="26"/>
      <c r="O503" s="26"/>
      <c r="P503" s="26"/>
      <c r="Q503" s="26"/>
    </row>
    <row r="504" ht="15.75" hidden="1" customHeight="1">
      <c r="A504" s="30" t="s">
        <v>33</v>
      </c>
      <c r="B504" s="9" t="s">
        <v>1610</v>
      </c>
      <c r="C504" s="19" t="s">
        <v>172</v>
      </c>
      <c r="D504" s="22" t="s">
        <v>1653</v>
      </c>
      <c r="E504" s="19" t="s">
        <v>109</v>
      </c>
      <c r="F504" s="19" t="s">
        <v>421</v>
      </c>
      <c r="G504" s="19" t="s">
        <v>135</v>
      </c>
      <c r="H504" s="24" t="s">
        <v>59</v>
      </c>
      <c r="I504" s="25" t="s">
        <v>1654</v>
      </c>
      <c r="J504" s="19" t="s">
        <v>140</v>
      </c>
      <c r="K504" s="19" t="s">
        <v>13</v>
      </c>
      <c r="L504" s="22" t="s">
        <v>1652</v>
      </c>
      <c r="M504" s="26"/>
      <c r="N504" s="26"/>
      <c r="O504" s="26"/>
      <c r="P504" s="26"/>
      <c r="Q504" s="26"/>
    </row>
    <row r="505" ht="15.75" hidden="1" customHeight="1">
      <c r="A505" s="30" t="s">
        <v>33</v>
      </c>
      <c r="B505" s="9" t="s">
        <v>1610</v>
      </c>
      <c r="C505" s="19" t="s">
        <v>172</v>
      </c>
      <c r="D505" s="22" t="s">
        <v>1655</v>
      </c>
      <c r="E505" s="19" t="s">
        <v>109</v>
      </c>
      <c r="F505" s="19" t="s">
        <v>421</v>
      </c>
      <c r="G505" s="19" t="s">
        <v>135</v>
      </c>
      <c r="H505" s="24" t="s">
        <v>59</v>
      </c>
      <c r="I505" s="25" t="s">
        <v>1656</v>
      </c>
      <c r="J505" s="19" t="s">
        <v>140</v>
      </c>
      <c r="K505" s="19" t="s">
        <v>13</v>
      </c>
      <c r="L505" s="22"/>
      <c r="M505" s="26"/>
      <c r="N505" s="26"/>
      <c r="O505" s="26"/>
      <c r="P505" s="26"/>
      <c r="Q505" s="26"/>
    </row>
    <row r="506" ht="15.75" hidden="1" customHeight="1">
      <c r="A506" s="30" t="s">
        <v>33</v>
      </c>
      <c r="B506" s="9" t="s">
        <v>1610</v>
      </c>
      <c r="C506" s="19" t="s">
        <v>172</v>
      </c>
      <c r="D506" s="22" t="s">
        <v>1657</v>
      </c>
      <c r="E506" s="19" t="s">
        <v>109</v>
      </c>
      <c r="F506" s="19" t="s">
        <v>1658</v>
      </c>
      <c r="G506" s="19" t="s">
        <v>142</v>
      </c>
      <c r="H506" s="24" t="s">
        <v>59</v>
      </c>
      <c r="I506" s="25" t="s">
        <v>1659</v>
      </c>
      <c r="J506" s="19" t="s">
        <v>373</v>
      </c>
      <c r="K506" s="19" t="s">
        <v>139</v>
      </c>
      <c r="L506" s="22"/>
      <c r="M506" s="26"/>
      <c r="N506" s="26"/>
      <c r="O506" s="26"/>
      <c r="P506" s="26"/>
      <c r="Q506" s="26"/>
    </row>
    <row r="507" ht="15.75" hidden="1" customHeight="1">
      <c r="A507" s="30" t="s">
        <v>33</v>
      </c>
      <c r="B507" s="9" t="s">
        <v>1610</v>
      </c>
      <c r="C507" s="19" t="s">
        <v>84</v>
      </c>
      <c r="D507" s="22" t="s">
        <v>1660</v>
      </c>
      <c r="E507" s="19" t="s">
        <v>109</v>
      </c>
      <c r="F507" s="19" t="s">
        <v>89</v>
      </c>
      <c r="G507" s="19" t="s">
        <v>135</v>
      </c>
      <c r="H507" s="24" t="s">
        <v>59</v>
      </c>
      <c r="I507" s="25" t="s">
        <v>1661</v>
      </c>
      <c r="J507" s="19" t="s">
        <v>319</v>
      </c>
      <c r="K507" s="19" t="s">
        <v>78</v>
      </c>
      <c r="L507" s="22" t="s">
        <v>723</v>
      </c>
      <c r="M507" s="26"/>
      <c r="N507" s="26"/>
      <c r="O507" s="26"/>
      <c r="P507" s="26"/>
      <c r="Q507" s="26"/>
    </row>
    <row r="508" ht="15.75" hidden="1" customHeight="1">
      <c r="A508" s="30" t="s">
        <v>33</v>
      </c>
      <c r="B508" s="9" t="s">
        <v>1610</v>
      </c>
      <c r="C508" s="19" t="s">
        <v>84</v>
      </c>
      <c r="D508" s="22" t="s">
        <v>1662</v>
      </c>
      <c r="E508" s="19" t="s">
        <v>109</v>
      </c>
      <c r="F508" s="19" t="s">
        <v>89</v>
      </c>
      <c r="G508" s="19" t="s">
        <v>135</v>
      </c>
      <c r="H508" s="24" t="s">
        <v>59</v>
      </c>
      <c r="I508" s="25" t="s">
        <v>1663</v>
      </c>
      <c r="J508" s="19" t="s">
        <v>140</v>
      </c>
      <c r="K508" s="19" t="s">
        <v>13</v>
      </c>
      <c r="L508" s="22"/>
      <c r="M508" s="26"/>
      <c r="N508" s="26"/>
      <c r="O508" s="26"/>
      <c r="P508" s="26"/>
      <c r="Q508" s="26"/>
    </row>
    <row r="509" ht="15.75" hidden="1" customHeight="1">
      <c r="A509" s="30" t="s">
        <v>33</v>
      </c>
      <c r="B509" s="9" t="s">
        <v>1610</v>
      </c>
      <c r="C509" s="19" t="s">
        <v>84</v>
      </c>
      <c r="D509" s="22" t="s">
        <v>1664</v>
      </c>
      <c r="E509" s="19" t="s">
        <v>109</v>
      </c>
      <c r="F509" s="19" t="s">
        <v>89</v>
      </c>
      <c r="G509" s="19" t="s">
        <v>135</v>
      </c>
      <c r="H509" s="24" t="s">
        <v>59</v>
      </c>
      <c r="I509" s="25" t="s">
        <v>1665</v>
      </c>
      <c r="J509" s="19" t="s">
        <v>140</v>
      </c>
      <c r="K509" s="19" t="s">
        <v>143</v>
      </c>
      <c r="L509" s="22" t="s">
        <v>714</v>
      </c>
      <c r="M509" s="26"/>
      <c r="N509" s="26"/>
      <c r="O509" s="26"/>
      <c r="P509" s="26"/>
      <c r="Q509" s="26"/>
    </row>
    <row r="510" ht="15.75" hidden="1" customHeight="1">
      <c r="A510" s="30" t="s">
        <v>33</v>
      </c>
      <c r="B510" s="9" t="s">
        <v>1610</v>
      </c>
      <c r="C510" s="19" t="s">
        <v>84</v>
      </c>
      <c r="D510" s="22" t="s">
        <v>1666</v>
      </c>
      <c r="E510" s="19" t="s">
        <v>109</v>
      </c>
      <c r="F510" s="19" t="s">
        <v>89</v>
      </c>
      <c r="G510" s="19" t="s">
        <v>135</v>
      </c>
      <c r="H510" s="24" t="s">
        <v>59</v>
      </c>
      <c r="I510" s="25" t="s">
        <v>1667</v>
      </c>
      <c r="J510" s="19" t="s">
        <v>140</v>
      </c>
      <c r="K510" s="19" t="s">
        <v>13</v>
      </c>
      <c r="L510" s="22"/>
      <c r="M510" s="26"/>
      <c r="N510" s="26"/>
      <c r="O510" s="26"/>
      <c r="P510" s="26"/>
      <c r="Q510" s="26"/>
    </row>
    <row r="511" ht="15.75" hidden="1" customHeight="1">
      <c r="A511" s="30" t="s">
        <v>33</v>
      </c>
      <c r="B511" s="9" t="s">
        <v>1610</v>
      </c>
      <c r="C511" s="19" t="s">
        <v>84</v>
      </c>
      <c r="D511" s="22" t="s">
        <v>1666</v>
      </c>
      <c r="E511" s="19" t="s">
        <v>109</v>
      </c>
      <c r="F511" s="19" t="s">
        <v>103</v>
      </c>
      <c r="G511" s="19" t="s">
        <v>135</v>
      </c>
      <c r="H511" s="24" t="s">
        <v>59</v>
      </c>
      <c r="I511" s="25" t="s">
        <v>1668</v>
      </c>
      <c r="J511" s="19" t="s">
        <v>140</v>
      </c>
      <c r="K511" s="19" t="s">
        <v>13</v>
      </c>
      <c r="L511" s="22"/>
      <c r="M511" s="26"/>
      <c r="N511" s="26"/>
      <c r="O511" s="26"/>
      <c r="P511" s="26"/>
      <c r="Q511" s="26"/>
    </row>
    <row r="512" ht="15.75" hidden="1" customHeight="1">
      <c r="A512" s="30" t="s">
        <v>33</v>
      </c>
      <c r="B512" s="9" t="s">
        <v>1610</v>
      </c>
      <c r="C512" s="19" t="s">
        <v>84</v>
      </c>
      <c r="D512" s="22" t="s">
        <v>1669</v>
      </c>
      <c r="E512" s="19" t="s">
        <v>109</v>
      </c>
      <c r="F512" s="19" t="s">
        <v>89</v>
      </c>
      <c r="G512" s="19" t="s">
        <v>142</v>
      </c>
      <c r="H512" s="24" t="s">
        <v>59</v>
      </c>
      <c r="I512" s="25" t="s">
        <v>1670</v>
      </c>
      <c r="J512" s="19" t="s">
        <v>140</v>
      </c>
      <c r="K512" s="19" t="s">
        <v>110</v>
      </c>
      <c r="L512" s="22"/>
      <c r="M512" s="26"/>
      <c r="N512" s="26"/>
      <c r="O512" s="26"/>
      <c r="P512" s="26"/>
      <c r="Q512" s="26"/>
    </row>
    <row r="513" ht="15.75" hidden="1" customHeight="1">
      <c r="A513" s="30" t="s">
        <v>33</v>
      </c>
      <c r="B513" s="9" t="s">
        <v>1610</v>
      </c>
      <c r="C513" s="19" t="s">
        <v>84</v>
      </c>
      <c r="D513" s="22" t="s">
        <v>1671</v>
      </c>
      <c r="E513" s="19" t="s">
        <v>109</v>
      </c>
      <c r="F513" s="19" t="s">
        <v>89</v>
      </c>
      <c r="G513" s="19" t="s">
        <v>135</v>
      </c>
      <c r="H513" s="24" t="s">
        <v>59</v>
      </c>
      <c r="I513" s="25" t="s">
        <v>1672</v>
      </c>
      <c r="J513" s="19" t="s">
        <v>140</v>
      </c>
      <c r="K513" s="19" t="s">
        <v>13</v>
      </c>
      <c r="L513" s="22"/>
      <c r="M513" s="26"/>
      <c r="N513" s="26"/>
      <c r="O513" s="26"/>
      <c r="P513" s="26"/>
      <c r="Q513" s="26"/>
    </row>
    <row r="514" ht="15.75" hidden="1" customHeight="1">
      <c r="A514" s="30" t="s">
        <v>33</v>
      </c>
      <c r="B514" s="9" t="s">
        <v>1610</v>
      </c>
      <c r="C514" s="19" t="s">
        <v>84</v>
      </c>
      <c r="D514" s="22" t="s">
        <v>1673</v>
      </c>
      <c r="E514" s="19" t="s">
        <v>109</v>
      </c>
      <c r="F514" s="19" t="s">
        <v>103</v>
      </c>
      <c r="G514" s="19" t="s">
        <v>135</v>
      </c>
      <c r="H514" s="24" t="s">
        <v>59</v>
      </c>
      <c r="I514" s="25" t="s">
        <v>1674</v>
      </c>
      <c r="J514" s="19" t="s">
        <v>140</v>
      </c>
      <c r="K514" s="19" t="s">
        <v>13</v>
      </c>
      <c r="L514" s="22"/>
      <c r="M514" s="26"/>
      <c r="N514" s="26"/>
      <c r="O514" s="26"/>
      <c r="P514" s="26"/>
      <c r="Q514" s="26"/>
    </row>
    <row r="515" ht="15.75" hidden="1" customHeight="1">
      <c r="A515" s="30" t="s">
        <v>33</v>
      </c>
      <c r="B515" s="9" t="s">
        <v>1610</v>
      </c>
      <c r="C515" s="19" t="s">
        <v>84</v>
      </c>
      <c r="D515" s="22" t="s">
        <v>1675</v>
      </c>
      <c r="E515" s="19" t="s">
        <v>109</v>
      </c>
      <c r="F515" s="19" t="s">
        <v>103</v>
      </c>
      <c r="G515" s="19" t="s">
        <v>135</v>
      </c>
      <c r="H515" s="24" t="s">
        <v>59</v>
      </c>
      <c r="I515" s="25" t="s">
        <v>1676</v>
      </c>
      <c r="J515" s="19" t="s">
        <v>319</v>
      </c>
      <c r="K515" s="19" t="s">
        <v>78</v>
      </c>
      <c r="L515" s="22" t="s">
        <v>723</v>
      </c>
      <c r="M515" s="26"/>
      <c r="N515" s="26"/>
      <c r="O515" s="26"/>
      <c r="P515" s="26"/>
      <c r="Q515" s="26"/>
    </row>
    <row r="516" ht="15.75" customHeight="1">
      <c r="A516" s="30" t="s">
        <v>33</v>
      </c>
      <c r="B516" s="9" t="s">
        <v>1610</v>
      </c>
      <c r="C516" s="19" t="s">
        <v>84</v>
      </c>
      <c r="D516" s="22" t="s">
        <v>1677</v>
      </c>
      <c r="E516" s="19" t="s">
        <v>129</v>
      </c>
      <c r="F516" s="19" t="s">
        <v>89</v>
      </c>
      <c r="G516" s="19" t="s">
        <v>90</v>
      </c>
      <c r="H516" s="24" t="s">
        <v>59</v>
      </c>
      <c r="I516" s="25" t="s">
        <v>1678</v>
      </c>
      <c r="J516" s="19" t="s">
        <v>319</v>
      </c>
      <c r="K516" s="19" t="s">
        <v>92</v>
      </c>
      <c r="L516" s="22"/>
      <c r="M516" s="26"/>
      <c r="N516" s="26"/>
      <c r="O516" s="26"/>
      <c r="P516" s="26"/>
      <c r="Q516" s="26"/>
    </row>
    <row r="517" ht="15.75" hidden="1" customHeight="1">
      <c r="A517" s="30" t="s">
        <v>33</v>
      </c>
      <c r="B517" s="9" t="s">
        <v>1610</v>
      </c>
      <c r="C517" s="19" t="s">
        <v>84</v>
      </c>
      <c r="D517" s="22" t="s">
        <v>1679</v>
      </c>
      <c r="E517" s="19" t="s">
        <v>109</v>
      </c>
      <c r="F517" s="19" t="s">
        <v>89</v>
      </c>
      <c r="G517" s="19" t="s">
        <v>135</v>
      </c>
      <c r="H517" s="24" t="s">
        <v>59</v>
      </c>
      <c r="I517" s="25" t="s">
        <v>1680</v>
      </c>
      <c r="J517" s="19" t="s">
        <v>319</v>
      </c>
      <c r="K517" s="19" t="s">
        <v>78</v>
      </c>
      <c r="L517" s="22" t="s">
        <v>723</v>
      </c>
      <c r="M517" s="26"/>
      <c r="N517" s="26"/>
      <c r="O517" s="26"/>
      <c r="P517" s="26"/>
      <c r="Q517" s="26"/>
    </row>
    <row r="518" ht="15.75" hidden="1" customHeight="1">
      <c r="A518" s="30" t="s">
        <v>33</v>
      </c>
      <c r="B518" s="9" t="s">
        <v>1610</v>
      </c>
      <c r="C518" s="19" t="s">
        <v>84</v>
      </c>
      <c r="D518" s="22" t="s">
        <v>1681</v>
      </c>
      <c r="E518" s="19" t="s">
        <v>109</v>
      </c>
      <c r="F518" s="19" t="s">
        <v>89</v>
      </c>
      <c r="G518" s="19" t="s">
        <v>135</v>
      </c>
      <c r="H518" s="24" t="s">
        <v>59</v>
      </c>
      <c r="I518" s="25" t="s">
        <v>1682</v>
      </c>
      <c r="J518" s="19" t="s">
        <v>308</v>
      </c>
      <c r="K518" s="19" t="s">
        <v>94</v>
      </c>
      <c r="L518" s="22" t="s">
        <v>1683</v>
      </c>
      <c r="M518" s="26"/>
      <c r="N518" s="26"/>
      <c r="O518" s="26"/>
      <c r="P518" s="26"/>
      <c r="Q518" s="26"/>
    </row>
    <row r="519" ht="15.75" hidden="1" customHeight="1">
      <c r="A519" s="31" t="s">
        <v>39</v>
      </c>
      <c r="B519" s="9" t="s">
        <v>1684</v>
      </c>
      <c r="C519" s="19" t="s">
        <v>1685</v>
      </c>
      <c r="D519" s="22" t="s">
        <v>1686</v>
      </c>
      <c r="E519" s="19" t="s">
        <v>54</v>
      </c>
      <c r="F519" s="19" t="s">
        <v>421</v>
      </c>
      <c r="G519" s="19" t="s">
        <v>57</v>
      </c>
      <c r="H519" s="22" t="s">
        <v>155</v>
      </c>
      <c r="I519" s="25" t="s">
        <v>1687</v>
      </c>
      <c r="J519" s="19" t="s">
        <v>811</v>
      </c>
      <c r="K519" s="19" t="s">
        <v>110</v>
      </c>
      <c r="L519" s="22"/>
      <c r="M519" s="26"/>
      <c r="N519" s="26"/>
      <c r="O519" s="26"/>
      <c r="P519" s="26"/>
      <c r="Q519" s="26"/>
    </row>
    <row r="520" ht="15.75" hidden="1" customHeight="1">
      <c r="A520" s="31" t="s">
        <v>39</v>
      </c>
      <c r="B520" s="9" t="s">
        <v>1684</v>
      </c>
      <c r="C520" s="19" t="s">
        <v>1688</v>
      </c>
      <c r="D520" s="22" t="s">
        <v>1689</v>
      </c>
      <c r="E520" s="19" t="s">
        <v>54</v>
      </c>
      <c r="F520" s="19" t="s">
        <v>631</v>
      </c>
      <c r="G520" s="19" t="s">
        <v>57</v>
      </c>
      <c r="H520" s="22" t="s">
        <v>155</v>
      </c>
      <c r="I520" s="25" t="s">
        <v>1690</v>
      </c>
      <c r="J520" s="19" t="s">
        <v>1445</v>
      </c>
      <c r="K520" s="19" t="s">
        <v>110</v>
      </c>
      <c r="L520" s="22"/>
      <c r="M520" s="26"/>
      <c r="N520" s="26"/>
      <c r="O520" s="26"/>
      <c r="P520" s="26"/>
      <c r="Q520" s="26"/>
    </row>
    <row r="521" ht="15.75" hidden="1" customHeight="1">
      <c r="A521" s="31" t="s">
        <v>39</v>
      </c>
      <c r="B521" s="9" t="s">
        <v>1684</v>
      </c>
      <c r="C521" s="19" t="s">
        <v>1691</v>
      </c>
      <c r="D521" s="22" t="s">
        <v>1692</v>
      </c>
      <c r="E521" s="19" t="s">
        <v>54</v>
      </c>
      <c r="F521" s="19" t="s">
        <v>868</v>
      </c>
      <c r="G521" s="19" t="s">
        <v>57</v>
      </c>
      <c r="H521" s="22" t="s">
        <v>155</v>
      </c>
      <c r="I521" s="25" t="s">
        <v>1693</v>
      </c>
      <c r="J521" s="19" t="s">
        <v>1572</v>
      </c>
      <c r="K521" s="19" t="s">
        <v>139</v>
      </c>
      <c r="L521" s="22" t="s">
        <v>1694</v>
      </c>
      <c r="M521" s="26"/>
      <c r="N521" s="26"/>
      <c r="O521" s="26"/>
      <c r="P521" s="26"/>
      <c r="Q521" s="26"/>
    </row>
    <row r="522" ht="15.75" hidden="1" customHeight="1">
      <c r="A522" s="31" t="s">
        <v>39</v>
      </c>
      <c r="B522" s="9" t="s">
        <v>1684</v>
      </c>
      <c r="C522" s="19" t="s">
        <v>1695</v>
      </c>
      <c r="D522" s="22" t="s">
        <v>1696</v>
      </c>
      <c r="E522" s="19" t="s">
        <v>54</v>
      </c>
      <c r="F522" s="19" t="s">
        <v>631</v>
      </c>
      <c r="G522" s="19" t="s">
        <v>57</v>
      </c>
      <c r="H522" s="22" t="s">
        <v>155</v>
      </c>
      <c r="I522" s="25" t="s">
        <v>1697</v>
      </c>
      <c r="J522" s="19" t="s">
        <v>1698</v>
      </c>
      <c r="K522" s="19" t="s">
        <v>130</v>
      </c>
      <c r="L522" s="22" t="s">
        <v>1699</v>
      </c>
      <c r="M522" s="26"/>
      <c r="N522" s="26"/>
      <c r="O522" s="26"/>
      <c r="P522" s="26"/>
      <c r="Q522" s="26"/>
    </row>
    <row r="523" ht="15.75" hidden="1" customHeight="1">
      <c r="A523" s="31" t="s">
        <v>39</v>
      </c>
      <c r="B523" s="9" t="s">
        <v>1684</v>
      </c>
      <c r="C523" s="19" t="s">
        <v>1700</v>
      </c>
      <c r="D523" s="22" t="s">
        <v>1701</v>
      </c>
      <c r="E523" s="19" t="s">
        <v>54</v>
      </c>
      <c r="F523" s="19" t="s">
        <v>241</v>
      </c>
      <c r="G523" s="19" t="s">
        <v>57</v>
      </c>
      <c r="H523" s="22" t="s">
        <v>155</v>
      </c>
      <c r="I523" s="25" t="s">
        <v>1702</v>
      </c>
      <c r="J523" s="19" t="s">
        <v>926</v>
      </c>
      <c r="K523" s="19" t="s">
        <v>94</v>
      </c>
      <c r="L523" s="22" t="s">
        <v>1703</v>
      </c>
      <c r="M523" s="26"/>
      <c r="N523" s="26"/>
      <c r="O523" s="26"/>
      <c r="P523" s="26"/>
      <c r="Q523" s="26"/>
    </row>
    <row r="524" ht="15.75" customHeight="1">
      <c r="A524" s="31" t="s">
        <v>39</v>
      </c>
      <c r="B524" s="9" t="s">
        <v>1684</v>
      </c>
      <c r="C524" s="19" t="s">
        <v>1704</v>
      </c>
      <c r="D524" s="22" t="s">
        <v>1705</v>
      </c>
      <c r="E524" s="19" t="s">
        <v>119</v>
      </c>
      <c r="F524" s="19" t="s">
        <v>335</v>
      </c>
      <c r="G524" s="19" t="s">
        <v>90</v>
      </c>
      <c r="H524" s="24" t="s">
        <v>59</v>
      </c>
      <c r="I524" s="25" t="s">
        <v>1706</v>
      </c>
      <c r="J524" s="19"/>
      <c r="K524" s="19" t="s">
        <v>112</v>
      </c>
      <c r="L524" s="22"/>
      <c r="M524" s="26"/>
      <c r="N524" s="26"/>
      <c r="O524" s="26"/>
      <c r="P524" s="26"/>
      <c r="Q524" s="26"/>
    </row>
    <row r="525" ht="15.75" customHeight="1">
      <c r="A525" s="31" t="s">
        <v>39</v>
      </c>
      <c r="B525" s="9" t="s">
        <v>1684</v>
      </c>
      <c r="C525" s="19" t="s">
        <v>784</v>
      </c>
      <c r="D525" s="22" t="s">
        <v>1707</v>
      </c>
      <c r="E525" s="19" t="s">
        <v>119</v>
      </c>
      <c r="F525" s="19" t="s">
        <v>335</v>
      </c>
      <c r="G525" s="19" t="s">
        <v>90</v>
      </c>
      <c r="H525" s="24" t="s">
        <v>59</v>
      </c>
      <c r="I525" s="25" t="s">
        <v>1708</v>
      </c>
      <c r="J525" s="19" t="s">
        <v>1709</v>
      </c>
      <c r="K525" s="19" t="s">
        <v>94</v>
      </c>
      <c r="L525" s="22" t="s">
        <v>1355</v>
      </c>
      <c r="M525" s="26"/>
      <c r="N525" s="26"/>
      <c r="O525" s="26"/>
      <c r="P525" s="26"/>
      <c r="Q525" s="26"/>
    </row>
    <row r="526" ht="15.75" customHeight="1">
      <c r="A526" s="31" t="s">
        <v>39</v>
      </c>
      <c r="B526" s="9" t="s">
        <v>1684</v>
      </c>
      <c r="C526" s="19" t="s">
        <v>784</v>
      </c>
      <c r="D526" s="22" t="s">
        <v>1710</v>
      </c>
      <c r="E526" s="19" t="s">
        <v>119</v>
      </c>
      <c r="F526" s="19" t="s">
        <v>335</v>
      </c>
      <c r="G526" s="19" t="s">
        <v>90</v>
      </c>
      <c r="H526" s="24" t="s">
        <v>59</v>
      </c>
      <c r="I526" s="25" t="s">
        <v>1711</v>
      </c>
      <c r="J526" s="19"/>
      <c r="K526" s="19" t="s">
        <v>40</v>
      </c>
      <c r="L526" s="22" t="s">
        <v>1712</v>
      </c>
      <c r="M526" s="26"/>
      <c r="N526" s="26"/>
      <c r="O526" s="26"/>
      <c r="P526" s="26"/>
      <c r="Q526" s="26"/>
    </row>
    <row r="527" ht="15.75" customHeight="1">
      <c r="A527" s="31" t="s">
        <v>39</v>
      </c>
      <c r="B527" s="9" t="s">
        <v>1684</v>
      </c>
      <c r="C527" s="19" t="s">
        <v>784</v>
      </c>
      <c r="D527" s="22" t="s">
        <v>1713</v>
      </c>
      <c r="E527" s="19" t="s">
        <v>119</v>
      </c>
      <c r="F527" s="19" t="s">
        <v>335</v>
      </c>
      <c r="G527" s="19" t="s">
        <v>90</v>
      </c>
      <c r="H527" s="24" t="s">
        <v>59</v>
      </c>
      <c r="I527" s="25" t="s">
        <v>1714</v>
      </c>
      <c r="J527" s="19" t="s">
        <v>1715</v>
      </c>
      <c r="K527" s="19" t="s">
        <v>40</v>
      </c>
      <c r="L527" s="22"/>
      <c r="M527" s="26"/>
      <c r="N527" s="26"/>
      <c r="O527" s="26"/>
      <c r="P527" s="26"/>
      <c r="Q527" s="26"/>
    </row>
    <row r="528" ht="15.75" hidden="1" customHeight="1">
      <c r="A528" s="31" t="s">
        <v>39</v>
      </c>
      <c r="B528" s="9" t="s">
        <v>1684</v>
      </c>
      <c r="C528" s="19" t="s">
        <v>1716</v>
      </c>
      <c r="D528" s="22" t="s">
        <v>1717</v>
      </c>
      <c r="E528" s="19" t="s">
        <v>54</v>
      </c>
      <c r="F528" s="19" t="s">
        <v>89</v>
      </c>
      <c r="G528" s="19" t="s">
        <v>57</v>
      </c>
      <c r="H528" s="22" t="s">
        <v>155</v>
      </c>
      <c r="I528" s="25" t="s">
        <v>1718</v>
      </c>
      <c r="J528" s="19" t="s">
        <v>1719</v>
      </c>
      <c r="K528" s="19" t="s">
        <v>94</v>
      </c>
      <c r="L528" s="22" t="s">
        <v>1720</v>
      </c>
      <c r="M528" s="26"/>
      <c r="N528" s="26"/>
      <c r="O528" s="26"/>
      <c r="P528" s="26"/>
      <c r="Q528" s="26"/>
    </row>
    <row r="529" ht="15.75" customHeight="1">
      <c r="A529" s="31" t="s">
        <v>39</v>
      </c>
      <c r="B529" s="9" t="s">
        <v>1684</v>
      </c>
      <c r="C529" s="19" t="s">
        <v>198</v>
      </c>
      <c r="D529" s="22" t="s">
        <v>818</v>
      </c>
      <c r="E529" s="19" t="s">
        <v>119</v>
      </c>
      <c r="F529" s="19" t="s">
        <v>331</v>
      </c>
      <c r="G529" s="19" t="s">
        <v>90</v>
      </c>
      <c r="H529" s="24" t="s">
        <v>59</v>
      </c>
      <c r="I529" s="25" t="s">
        <v>1721</v>
      </c>
      <c r="J529" s="19" t="s">
        <v>1722</v>
      </c>
      <c r="K529" s="19" t="s">
        <v>92</v>
      </c>
      <c r="L529" s="22"/>
      <c r="M529" s="26"/>
      <c r="N529" s="26"/>
      <c r="O529" s="26"/>
      <c r="P529" s="26"/>
      <c r="Q529" s="26"/>
    </row>
    <row r="530" ht="15.75" hidden="1" customHeight="1">
      <c r="A530" s="31" t="s">
        <v>39</v>
      </c>
      <c r="B530" s="9" t="s">
        <v>1684</v>
      </c>
      <c r="C530" s="19" t="s">
        <v>183</v>
      </c>
      <c r="D530" s="22" t="s">
        <v>1723</v>
      </c>
      <c r="E530" s="19" t="s">
        <v>115</v>
      </c>
      <c r="F530" s="19" t="s">
        <v>302</v>
      </c>
      <c r="G530" s="19" t="s">
        <v>57</v>
      </c>
      <c r="H530" s="24" t="s">
        <v>59</v>
      </c>
      <c r="I530" s="25" t="s">
        <v>1724</v>
      </c>
      <c r="J530" s="19" t="s">
        <v>319</v>
      </c>
      <c r="K530" s="19" t="s">
        <v>52</v>
      </c>
      <c r="L530" s="22"/>
      <c r="M530" s="26"/>
      <c r="N530" s="26"/>
      <c r="O530" s="26"/>
      <c r="P530" s="26"/>
      <c r="Q530" s="26"/>
    </row>
    <row r="531" ht="15.75" customHeight="1">
      <c r="A531" s="31" t="s">
        <v>39</v>
      </c>
      <c r="B531" s="9" t="s">
        <v>1684</v>
      </c>
      <c r="C531" s="19" t="s">
        <v>790</v>
      </c>
      <c r="D531" s="22" t="s">
        <v>831</v>
      </c>
      <c r="E531" s="19" t="s">
        <v>119</v>
      </c>
      <c r="F531" s="19" t="s">
        <v>335</v>
      </c>
      <c r="G531" s="19" t="s">
        <v>90</v>
      </c>
      <c r="H531" s="24" t="s">
        <v>59</v>
      </c>
      <c r="I531" s="25" t="s">
        <v>1725</v>
      </c>
      <c r="J531" s="19" t="s">
        <v>1726</v>
      </c>
      <c r="K531" s="19" t="s">
        <v>92</v>
      </c>
      <c r="L531" s="22"/>
      <c r="M531" s="26"/>
      <c r="N531" s="26"/>
      <c r="O531" s="26"/>
      <c r="P531" s="26"/>
      <c r="Q531" s="26"/>
    </row>
    <row r="532" ht="15.75" customHeight="1">
      <c r="A532" s="31" t="s">
        <v>39</v>
      </c>
      <c r="B532" s="9" t="s">
        <v>1684</v>
      </c>
      <c r="C532" s="19" t="s">
        <v>790</v>
      </c>
      <c r="D532" s="22" t="s">
        <v>1727</v>
      </c>
      <c r="E532" s="19" t="s">
        <v>119</v>
      </c>
      <c r="F532" s="19" t="s">
        <v>335</v>
      </c>
      <c r="G532" s="19" t="s">
        <v>90</v>
      </c>
      <c r="H532" s="24" t="s">
        <v>59</v>
      </c>
      <c r="I532" s="25" t="s">
        <v>1725</v>
      </c>
      <c r="J532" s="19"/>
      <c r="K532" s="19" t="s">
        <v>100</v>
      </c>
      <c r="L532" s="22"/>
      <c r="M532" s="26"/>
      <c r="N532" s="26"/>
      <c r="O532" s="26"/>
      <c r="P532" s="26"/>
      <c r="Q532" s="26"/>
    </row>
    <row r="533" ht="15.75" hidden="1" customHeight="1">
      <c r="A533" s="31" t="s">
        <v>39</v>
      </c>
      <c r="B533" s="9" t="s">
        <v>1684</v>
      </c>
      <c r="C533" s="19" t="s">
        <v>1728</v>
      </c>
      <c r="D533" s="22" t="s">
        <v>1729</v>
      </c>
      <c r="E533" s="19" t="s">
        <v>54</v>
      </c>
      <c r="F533" s="19" t="s">
        <v>186</v>
      </c>
      <c r="G533" s="19" t="s">
        <v>57</v>
      </c>
      <c r="H533" s="22" t="s">
        <v>155</v>
      </c>
      <c r="I533" s="25" t="s">
        <v>1730</v>
      </c>
      <c r="J533" s="19"/>
      <c r="K533" s="19" t="s">
        <v>246</v>
      </c>
      <c r="L533" s="22" t="s">
        <v>1731</v>
      </c>
      <c r="M533" s="26"/>
      <c r="N533" s="26"/>
      <c r="O533" s="26"/>
      <c r="P533" s="26"/>
      <c r="Q533" s="26"/>
    </row>
    <row r="534" ht="15.75" hidden="1" customHeight="1">
      <c r="A534" s="31" t="s">
        <v>39</v>
      </c>
      <c r="B534" s="9" t="s">
        <v>1684</v>
      </c>
      <c r="C534" s="19" t="s">
        <v>651</v>
      </c>
      <c r="D534" s="22" t="s">
        <v>1732</v>
      </c>
      <c r="E534" s="19" t="s">
        <v>54</v>
      </c>
      <c r="F534" s="19" t="s">
        <v>494</v>
      </c>
      <c r="G534" s="19" t="s">
        <v>57</v>
      </c>
      <c r="H534" s="22" t="s">
        <v>155</v>
      </c>
      <c r="I534" s="25" t="s">
        <v>653</v>
      </c>
      <c r="J534" s="19" t="s">
        <v>743</v>
      </c>
      <c r="K534" s="19" t="s">
        <v>130</v>
      </c>
      <c r="L534" s="22" t="s">
        <v>1733</v>
      </c>
      <c r="M534" s="26"/>
      <c r="N534" s="26"/>
      <c r="O534" s="26"/>
      <c r="P534" s="26"/>
      <c r="Q534" s="26"/>
    </row>
    <row r="535" ht="15.75" hidden="1" customHeight="1">
      <c r="A535" s="31" t="s">
        <v>39</v>
      </c>
      <c r="B535" s="9" t="s">
        <v>1684</v>
      </c>
      <c r="C535" s="19" t="s">
        <v>1734</v>
      </c>
      <c r="D535" s="22" t="s">
        <v>1735</v>
      </c>
      <c r="E535" s="19" t="s">
        <v>54</v>
      </c>
      <c r="F535" s="19" t="s">
        <v>1736</v>
      </c>
      <c r="G535" s="19" t="s">
        <v>57</v>
      </c>
      <c r="H535" s="22" t="s">
        <v>155</v>
      </c>
      <c r="I535" s="25" t="s">
        <v>1737</v>
      </c>
      <c r="J535" s="19" t="s">
        <v>1738</v>
      </c>
      <c r="K535" s="19" t="s">
        <v>130</v>
      </c>
      <c r="L535" s="22" t="s">
        <v>1739</v>
      </c>
      <c r="M535" s="26"/>
      <c r="N535" s="26"/>
      <c r="O535" s="26"/>
      <c r="P535" s="26"/>
      <c r="Q535" s="26"/>
    </row>
    <row r="536" ht="15.75" customHeight="1">
      <c r="A536" s="31" t="s">
        <v>39</v>
      </c>
      <c r="B536" s="9" t="s">
        <v>1684</v>
      </c>
      <c r="C536" s="19" t="s">
        <v>174</v>
      </c>
      <c r="D536" s="22" t="s">
        <v>1740</v>
      </c>
      <c r="E536" s="19" t="s">
        <v>119</v>
      </c>
      <c r="F536" s="19" t="s">
        <v>335</v>
      </c>
      <c r="G536" s="19" t="s">
        <v>90</v>
      </c>
      <c r="H536" s="24" t="s">
        <v>59</v>
      </c>
      <c r="I536" s="25" t="s">
        <v>1741</v>
      </c>
      <c r="J536" s="19" t="s">
        <v>140</v>
      </c>
      <c r="K536" s="19" t="s">
        <v>175</v>
      </c>
      <c r="L536" s="22"/>
      <c r="M536" s="26"/>
      <c r="N536" s="26"/>
      <c r="O536" s="26"/>
      <c r="P536" s="26"/>
      <c r="Q536" s="26"/>
    </row>
    <row r="537" ht="15.75" customHeight="1">
      <c r="A537" s="31" t="s">
        <v>39</v>
      </c>
      <c r="B537" s="9" t="s">
        <v>1684</v>
      </c>
      <c r="C537" s="19" t="s">
        <v>174</v>
      </c>
      <c r="D537" s="22" t="s">
        <v>1742</v>
      </c>
      <c r="E537" s="19" t="s">
        <v>119</v>
      </c>
      <c r="F537" s="19" t="s">
        <v>1743</v>
      </c>
      <c r="G537" s="19" t="s">
        <v>90</v>
      </c>
      <c r="H537" s="24" t="s">
        <v>59</v>
      </c>
      <c r="I537" s="25" t="s">
        <v>1744</v>
      </c>
      <c r="J537" s="19"/>
      <c r="K537" s="19" t="s">
        <v>125</v>
      </c>
      <c r="L537" s="22" t="s">
        <v>1745</v>
      </c>
      <c r="M537" s="26"/>
      <c r="N537" s="26"/>
      <c r="O537" s="26"/>
      <c r="P537" s="26"/>
      <c r="Q537" s="26"/>
    </row>
    <row r="538" ht="15.75" customHeight="1">
      <c r="A538" s="31" t="s">
        <v>39</v>
      </c>
      <c r="B538" s="9" t="s">
        <v>1684</v>
      </c>
      <c r="C538" s="19" t="s">
        <v>174</v>
      </c>
      <c r="D538" s="22" t="s">
        <v>1746</v>
      </c>
      <c r="E538" s="19" t="s">
        <v>119</v>
      </c>
      <c r="F538" s="19" t="s">
        <v>796</v>
      </c>
      <c r="G538" s="19" t="s">
        <v>90</v>
      </c>
      <c r="H538" s="24" t="s">
        <v>59</v>
      </c>
      <c r="I538" s="25" t="s">
        <v>1747</v>
      </c>
      <c r="J538" s="19" t="s">
        <v>798</v>
      </c>
      <c r="K538" s="19" t="s">
        <v>66</v>
      </c>
      <c r="L538" s="22"/>
      <c r="M538" s="26"/>
      <c r="N538" s="26"/>
      <c r="O538" s="26"/>
      <c r="P538" s="26"/>
      <c r="Q538" s="26"/>
    </row>
    <row r="539" ht="15.75" customHeight="1">
      <c r="A539" s="31" t="s">
        <v>39</v>
      </c>
      <c r="B539" s="9" t="s">
        <v>1684</v>
      </c>
      <c r="C539" s="19" t="s">
        <v>174</v>
      </c>
      <c r="D539" s="22" t="s">
        <v>1748</v>
      </c>
      <c r="E539" s="19" t="s">
        <v>119</v>
      </c>
      <c r="F539" s="19" t="s">
        <v>335</v>
      </c>
      <c r="G539" s="19" t="s">
        <v>90</v>
      </c>
      <c r="H539" s="24" t="s">
        <v>59</v>
      </c>
      <c r="I539" s="25" t="s">
        <v>1749</v>
      </c>
      <c r="J539" s="19"/>
      <c r="K539" s="19" t="s">
        <v>112</v>
      </c>
      <c r="L539" s="22"/>
      <c r="M539" s="26"/>
      <c r="N539" s="26"/>
      <c r="O539" s="26"/>
      <c r="P539" s="26"/>
      <c r="Q539" s="26"/>
    </row>
    <row r="540" ht="15.75" customHeight="1">
      <c r="A540" s="31" t="s">
        <v>39</v>
      </c>
      <c r="B540" s="9" t="s">
        <v>1684</v>
      </c>
      <c r="C540" s="19" t="s">
        <v>174</v>
      </c>
      <c r="D540" s="22" t="s">
        <v>1750</v>
      </c>
      <c r="E540" s="19" t="s">
        <v>119</v>
      </c>
      <c r="F540" s="19" t="s">
        <v>335</v>
      </c>
      <c r="G540" s="19" t="s">
        <v>90</v>
      </c>
      <c r="H540" s="24" t="s">
        <v>59</v>
      </c>
      <c r="I540" s="25" t="s">
        <v>1751</v>
      </c>
      <c r="J540" s="19"/>
      <c r="K540" s="19" t="s">
        <v>112</v>
      </c>
      <c r="L540" s="22"/>
      <c r="M540" s="26"/>
      <c r="N540" s="26"/>
      <c r="O540" s="26"/>
      <c r="P540" s="26"/>
      <c r="Q540" s="26"/>
    </row>
    <row r="541" ht="15.75" customHeight="1">
      <c r="A541" s="31" t="s">
        <v>39</v>
      </c>
      <c r="B541" s="9" t="s">
        <v>1684</v>
      </c>
      <c r="C541" s="19" t="s">
        <v>174</v>
      </c>
      <c r="D541" s="22" t="s">
        <v>1750</v>
      </c>
      <c r="E541" s="19" t="s">
        <v>119</v>
      </c>
      <c r="F541" s="19" t="s">
        <v>796</v>
      </c>
      <c r="G541" s="19" t="s">
        <v>90</v>
      </c>
      <c r="H541" s="24" t="s">
        <v>59</v>
      </c>
      <c r="I541" s="25" t="s">
        <v>1752</v>
      </c>
      <c r="J541" s="19" t="s">
        <v>798</v>
      </c>
      <c r="K541" s="19" t="s">
        <v>66</v>
      </c>
      <c r="L541" s="22"/>
      <c r="M541" s="26"/>
      <c r="N541" s="26"/>
      <c r="O541" s="26"/>
      <c r="P541" s="26"/>
      <c r="Q541" s="26"/>
    </row>
    <row r="542" ht="15.75" customHeight="1">
      <c r="A542" s="31" t="s">
        <v>39</v>
      </c>
      <c r="B542" s="9" t="s">
        <v>1684</v>
      </c>
      <c r="C542" s="19" t="s">
        <v>174</v>
      </c>
      <c r="D542" s="22" t="s">
        <v>1753</v>
      </c>
      <c r="E542" s="19" t="s">
        <v>119</v>
      </c>
      <c r="F542" s="19" t="s">
        <v>335</v>
      </c>
      <c r="G542" s="19" t="s">
        <v>90</v>
      </c>
      <c r="H542" s="24" t="s">
        <v>59</v>
      </c>
      <c r="I542" s="25" t="s">
        <v>1754</v>
      </c>
      <c r="J542" s="19"/>
      <c r="K542" s="19" t="s">
        <v>125</v>
      </c>
      <c r="L542" s="22" t="s">
        <v>1745</v>
      </c>
      <c r="M542" s="26"/>
      <c r="N542" s="26"/>
      <c r="O542" s="26"/>
      <c r="P542" s="26"/>
      <c r="Q542" s="26"/>
    </row>
    <row r="543" ht="15.75" customHeight="1">
      <c r="A543" s="31" t="s">
        <v>39</v>
      </c>
      <c r="B543" s="9" t="s">
        <v>1684</v>
      </c>
      <c r="C543" s="19" t="s">
        <v>174</v>
      </c>
      <c r="D543" s="22" t="s">
        <v>1755</v>
      </c>
      <c r="E543" s="19" t="s">
        <v>119</v>
      </c>
      <c r="F543" s="19" t="s">
        <v>1743</v>
      </c>
      <c r="G543" s="19" t="s">
        <v>90</v>
      </c>
      <c r="H543" s="24" t="s">
        <v>59</v>
      </c>
      <c r="I543" s="25" t="s">
        <v>1756</v>
      </c>
      <c r="J543" s="19"/>
      <c r="K543" s="19" t="s">
        <v>125</v>
      </c>
      <c r="L543" s="22" t="s">
        <v>1745</v>
      </c>
      <c r="M543" s="26"/>
      <c r="N543" s="26"/>
      <c r="O543" s="26"/>
      <c r="P543" s="26"/>
      <c r="Q543" s="26"/>
    </row>
    <row r="544" ht="15.75" hidden="1" customHeight="1">
      <c r="A544" s="31" t="s">
        <v>39</v>
      </c>
      <c r="B544" s="9" t="s">
        <v>1684</v>
      </c>
      <c r="C544" s="19" t="s">
        <v>1757</v>
      </c>
      <c r="D544" s="22" t="s">
        <v>1758</v>
      </c>
      <c r="E544" s="19" t="s">
        <v>54</v>
      </c>
      <c r="F544" s="19" t="s">
        <v>55</v>
      </c>
      <c r="G544" s="19" t="s">
        <v>57</v>
      </c>
      <c r="H544" s="22" t="s">
        <v>155</v>
      </c>
      <c r="I544" s="25" t="s">
        <v>1759</v>
      </c>
      <c r="J544" s="19" t="s">
        <v>337</v>
      </c>
      <c r="K544" s="19" t="s">
        <v>110</v>
      </c>
      <c r="L544" s="22"/>
      <c r="M544" s="26"/>
      <c r="N544" s="26"/>
      <c r="O544" s="26"/>
      <c r="P544" s="26"/>
      <c r="Q544" s="26"/>
    </row>
    <row r="545" ht="15.75" hidden="1" customHeight="1">
      <c r="A545" s="31" t="s">
        <v>39</v>
      </c>
      <c r="B545" s="9" t="s">
        <v>1684</v>
      </c>
      <c r="C545" s="19" t="s">
        <v>172</v>
      </c>
      <c r="D545" s="22" t="s">
        <v>1760</v>
      </c>
      <c r="E545" s="19" t="s">
        <v>115</v>
      </c>
      <c r="F545" s="19" t="s">
        <v>421</v>
      </c>
      <c r="G545" s="19" t="s">
        <v>146</v>
      </c>
      <c r="H545" s="24" t="s">
        <v>59</v>
      </c>
      <c r="I545" s="25" t="s">
        <v>1761</v>
      </c>
      <c r="J545" s="19" t="s">
        <v>319</v>
      </c>
      <c r="K545" s="19" t="s">
        <v>52</v>
      </c>
      <c r="L545" s="22" t="s">
        <v>1307</v>
      </c>
      <c r="M545" s="26"/>
      <c r="N545" s="26"/>
      <c r="O545" s="26"/>
      <c r="P545" s="26"/>
      <c r="Q545" s="26"/>
    </row>
    <row r="546" ht="15.75" hidden="1" customHeight="1">
      <c r="A546" s="31" t="s">
        <v>39</v>
      </c>
      <c r="B546" s="9" t="s">
        <v>1684</v>
      </c>
      <c r="C546" s="19" t="s">
        <v>84</v>
      </c>
      <c r="D546" s="22" t="s">
        <v>1762</v>
      </c>
      <c r="E546" s="19" t="s">
        <v>115</v>
      </c>
      <c r="F546" s="19" t="s">
        <v>103</v>
      </c>
      <c r="G546" s="19" t="s">
        <v>57</v>
      </c>
      <c r="H546" s="24" t="s">
        <v>59</v>
      </c>
      <c r="I546" s="25" t="s">
        <v>1763</v>
      </c>
      <c r="J546" s="19"/>
      <c r="K546" s="19" t="s">
        <v>40</v>
      </c>
      <c r="L546" s="22" t="s">
        <v>591</v>
      </c>
      <c r="M546" s="26"/>
      <c r="N546" s="26"/>
      <c r="O546" s="26"/>
      <c r="P546" s="26"/>
      <c r="Q546" s="26"/>
    </row>
    <row r="547" ht="15.75" customHeight="1">
      <c r="A547" s="31" t="s">
        <v>39</v>
      </c>
      <c r="B547" s="9" t="s">
        <v>1684</v>
      </c>
      <c r="C547" s="19" t="s">
        <v>1764</v>
      </c>
      <c r="D547" s="22" t="s">
        <v>1765</v>
      </c>
      <c r="E547" s="19" t="s">
        <v>119</v>
      </c>
      <c r="F547" s="19" t="s">
        <v>331</v>
      </c>
      <c r="G547" s="19" t="s">
        <v>90</v>
      </c>
      <c r="H547" s="24" t="s">
        <v>59</v>
      </c>
      <c r="I547" s="25" t="s">
        <v>1766</v>
      </c>
      <c r="J547" s="19" t="s">
        <v>558</v>
      </c>
      <c r="K547" s="19" t="s">
        <v>66</v>
      </c>
      <c r="L547" s="22"/>
      <c r="M547" s="26"/>
      <c r="N547" s="26"/>
      <c r="O547" s="26"/>
      <c r="P547" s="26"/>
      <c r="Q547" s="26"/>
    </row>
    <row r="548" ht="15.75" customHeight="1">
      <c r="A548" s="31" t="s">
        <v>39</v>
      </c>
      <c r="B548" s="9" t="s">
        <v>1684</v>
      </c>
      <c r="C548" s="19" t="s">
        <v>1764</v>
      </c>
      <c r="D548" s="22" t="s">
        <v>1767</v>
      </c>
      <c r="E548" s="19" t="s">
        <v>119</v>
      </c>
      <c r="F548" s="19" t="s">
        <v>1768</v>
      </c>
      <c r="G548" s="19" t="s">
        <v>90</v>
      </c>
      <c r="H548" s="24" t="s">
        <v>59</v>
      </c>
      <c r="I548" s="25" t="s">
        <v>1769</v>
      </c>
      <c r="J548" s="19" t="s">
        <v>558</v>
      </c>
      <c r="K548" s="19" t="s">
        <v>130</v>
      </c>
      <c r="L548" s="22"/>
      <c r="M548" s="26"/>
      <c r="N548" s="26"/>
      <c r="O548" s="26"/>
      <c r="P548" s="26"/>
      <c r="Q548" s="26"/>
    </row>
    <row r="549" ht="15.75" customHeight="1">
      <c r="A549" s="31" t="s">
        <v>39</v>
      </c>
      <c r="B549" s="9" t="s">
        <v>1684</v>
      </c>
      <c r="C549" s="19" t="s">
        <v>1764</v>
      </c>
      <c r="D549" s="22" t="s">
        <v>818</v>
      </c>
      <c r="E549" s="19" t="s">
        <v>119</v>
      </c>
      <c r="F549" s="19" t="s">
        <v>1768</v>
      </c>
      <c r="G549" s="19" t="s">
        <v>90</v>
      </c>
      <c r="H549" s="24" t="s">
        <v>59</v>
      </c>
      <c r="I549" s="25" t="s">
        <v>1770</v>
      </c>
      <c r="J549" s="19"/>
      <c r="K549" s="19" t="s">
        <v>112</v>
      </c>
      <c r="L549" s="22"/>
      <c r="M549" s="26"/>
      <c r="N549" s="26"/>
      <c r="O549" s="26"/>
      <c r="P549" s="26"/>
      <c r="Q549" s="26"/>
    </row>
    <row r="550" ht="15.75" customHeight="1">
      <c r="A550" s="31" t="s">
        <v>39</v>
      </c>
      <c r="B550" s="9" t="s">
        <v>1684</v>
      </c>
      <c r="C550" s="19" t="s">
        <v>1764</v>
      </c>
      <c r="D550" s="22" t="s">
        <v>1771</v>
      </c>
      <c r="E550" s="19" t="s">
        <v>119</v>
      </c>
      <c r="F550" s="19" t="s">
        <v>335</v>
      </c>
      <c r="G550" s="19" t="s">
        <v>90</v>
      </c>
      <c r="H550" s="24" t="s">
        <v>59</v>
      </c>
      <c r="I550" s="25" t="s">
        <v>1772</v>
      </c>
      <c r="J550" s="19" t="s">
        <v>619</v>
      </c>
      <c r="K550" s="19" t="s">
        <v>40</v>
      </c>
      <c r="L550" s="22" t="s">
        <v>1521</v>
      </c>
      <c r="M550" s="26"/>
      <c r="N550" s="26"/>
      <c r="O550" s="26"/>
      <c r="P550" s="26"/>
      <c r="Q550" s="26"/>
    </row>
    <row r="551" ht="15.75" customHeight="1">
      <c r="A551" s="31" t="s">
        <v>39</v>
      </c>
      <c r="B551" s="9" t="s">
        <v>1684</v>
      </c>
      <c r="C551" s="19" t="s">
        <v>1364</v>
      </c>
      <c r="D551" s="22" t="s">
        <v>1773</v>
      </c>
      <c r="E551" s="19" t="s">
        <v>119</v>
      </c>
      <c r="F551" s="19" t="s">
        <v>1774</v>
      </c>
      <c r="G551" s="19" t="s">
        <v>90</v>
      </c>
      <c r="H551" s="24" t="s">
        <v>59</v>
      </c>
      <c r="I551" s="25" t="s">
        <v>1775</v>
      </c>
      <c r="J551" s="19"/>
      <c r="K551" s="19" t="s">
        <v>125</v>
      </c>
      <c r="L551" s="22"/>
      <c r="M551" s="26"/>
      <c r="N551" s="26"/>
      <c r="O551" s="26"/>
      <c r="P551" s="26"/>
      <c r="Q551" s="26"/>
    </row>
    <row r="552" ht="15.75" hidden="1" customHeight="1">
      <c r="A552" s="31" t="s">
        <v>39</v>
      </c>
      <c r="B552" s="9" t="s">
        <v>1684</v>
      </c>
      <c r="C552" s="19" t="s">
        <v>1776</v>
      </c>
      <c r="D552" s="22" t="s">
        <v>1777</v>
      </c>
      <c r="E552" s="19" t="s">
        <v>54</v>
      </c>
      <c r="F552" s="19" t="s">
        <v>1778</v>
      </c>
      <c r="G552" s="19" t="s">
        <v>57</v>
      </c>
      <c r="H552" s="22" t="s">
        <v>155</v>
      </c>
      <c r="I552" s="25" t="s">
        <v>1779</v>
      </c>
      <c r="J552" s="19" t="s">
        <v>941</v>
      </c>
      <c r="K552" s="19" t="s">
        <v>110</v>
      </c>
      <c r="L552" s="22"/>
      <c r="M552" s="26"/>
      <c r="N552" s="26"/>
      <c r="O552" s="26"/>
      <c r="P552" s="26"/>
      <c r="Q552" s="26"/>
    </row>
    <row r="553" ht="15.75" hidden="1" customHeight="1">
      <c r="A553" s="31" t="s">
        <v>39</v>
      </c>
      <c r="B553" s="9" t="s">
        <v>1684</v>
      </c>
      <c r="C553" s="19" t="s">
        <v>1776</v>
      </c>
      <c r="D553" s="22" t="s">
        <v>1777</v>
      </c>
      <c r="E553" s="19" t="s">
        <v>54</v>
      </c>
      <c r="F553" s="19" t="s">
        <v>1129</v>
      </c>
      <c r="G553" s="19" t="s">
        <v>57</v>
      </c>
      <c r="H553" s="22" t="s">
        <v>155</v>
      </c>
      <c r="I553" s="25" t="s">
        <v>1780</v>
      </c>
      <c r="J553" s="19" t="s">
        <v>941</v>
      </c>
      <c r="K553" s="19" t="s">
        <v>110</v>
      </c>
      <c r="L553" s="22"/>
      <c r="M553" s="26"/>
      <c r="N553" s="26"/>
      <c r="O553" s="26"/>
      <c r="P553" s="26"/>
      <c r="Q553" s="26"/>
    </row>
    <row r="554" ht="15.75" hidden="1" customHeight="1">
      <c r="A554" s="31" t="s">
        <v>39</v>
      </c>
      <c r="B554" s="9" t="s">
        <v>1781</v>
      </c>
      <c r="C554" s="19" t="s">
        <v>1782</v>
      </c>
      <c r="D554" s="22" t="s">
        <v>1783</v>
      </c>
      <c r="E554" s="19" t="s">
        <v>116</v>
      </c>
      <c r="F554" s="19" t="s">
        <v>1784</v>
      </c>
      <c r="G554" s="19" t="s">
        <v>135</v>
      </c>
      <c r="H554" s="24" t="s">
        <v>59</v>
      </c>
      <c r="I554" s="25" t="s">
        <v>1785</v>
      </c>
      <c r="J554" s="19"/>
      <c r="K554" s="19" t="s">
        <v>13</v>
      </c>
      <c r="L554" s="22" t="s">
        <v>1786</v>
      </c>
      <c r="M554" s="26"/>
      <c r="N554" s="26"/>
      <c r="O554" s="26"/>
      <c r="P554" s="26"/>
      <c r="Q554" s="26"/>
    </row>
    <row r="555" ht="15.75" hidden="1" customHeight="1">
      <c r="A555" s="31" t="s">
        <v>39</v>
      </c>
      <c r="B555" s="9" t="s">
        <v>1781</v>
      </c>
      <c r="C555" s="19" t="s">
        <v>1787</v>
      </c>
      <c r="D555" s="22" t="s">
        <v>1788</v>
      </c>
      <c r="E555" s="19" t="s">
        <v>54</v>
      </c>
      <c r="F555" s="19" t="s">
        <v>295</v>
      </c>
      <c r="G555" s="19" t="s">
        <v>57</v>
      </c>
      <c r="H555" s="22" t="s">
        <v>365</v>
      </c>
      <c r="I555" s="25" t="s">
        <v>1789</v>
      </c>
      <c r="J555" s="19" t="s">
        <v>1217</v>
      </c>
      <c r="K555" s="19" t="s">
        <v>66</v>
      </c>
      <c r="L555" s="22"/>
      <c r="M555" s="26"/>
      <c r="N555" s="26"/>
      <c r="O555" s="26"/>
      <c r="P555" s="26"/>
      <c r="Q555" s="26"/>
    </row>
    <row r="556" ht="15.75" hidden="1" customHeight="1">
      <c r="A556" s="31" t="s">
        <v>39</v>
      </c>
      <c r="B556" s="9" t="s">
        <v>1781</v>
      </c>
      <c r="C556" s="19" t="s">
        <v>1790</v>
      </c>
      <c r="D556" s="22" t="s">
        <v>1791</v>
      </c>
      <c r="E556" s="19" t="s">
        <v>54</v>
      </c>
      <c r="F556" s="19" t="s">
        <v>295</v>
      </c>
      <c r="G556" s="19" t="s">
        <v>57</v>
      </c>
      <c r="H556" s="22" t="s">
        <v>365</v>
      </c>
      <c r="I556" s="25" t="s">
        <v>1792</v>
      </c>
      <c r="J556" s="19" t="s">
        <v>319</v>
      </c>
      <c r="K556" s="19" t="s">
        <v>66</v>
      </c>
      <c r="L556" s="22"/>
      <c r="M556" s="26"/>
      <c r="N556" s="26"/>
      <c r="O556" s="26"/>
      <c r="P556" s="26"/>
      <c r="Q556" s="26"/>
    </row>
    <row r="557" ht="15.75" customHeight="1">
      <c r="A557" s="31" t="s">
        <v>39</v>
      </c>
      <c r="B557" s="9" t="s">
        <v>1781</v>
      </c>
      <c r="C557" s="19" t="s">
        <v>1793</v>
      </c>
      <c r="D557" s="22" t="s">
        <v>1794</v>
      </c>
      <c r="E557" s="19" t="s">
        <v>116</v>
      </c>
      <c r="F557" s="19" t="s">
        <v>1795</v>
      </c>
      <c r="G557" s="19" t="s">
        <v>90</v>
      </c>
      <c r="H557" s="22" t="s">
        <v>365</v>
      </c>
      <c r="I557" s="25" t="s">
        <v>1796</v>
      </c>
      <c r="J557" s="19"/>
      <c r="K557" s="19" t="s">
        <v>100</v>
      </c>
      <c r="L557" s="22"/>
      <c r="M557" s="26"/>
      <c r="N557" s="26"/>
      <c r="O557" s="26"/>
      <c r="P557" s="26"/>
      <c r="Q557" s="26"/>
    </row>
    <row r="558" ht="15.75" hidden="1" customHeight="1">
      <c r="A558" s="31" t="s">
        <v>39</v>
      </c>
      <c r="B558" s="9" t="s">
        <v>1781</v>
      </c>
      <c r="C558" s="19" t="s">
        <v>871</v>
      </c>
      <c r="D558" s="22" t="s">
        <v>791</v>
      </c>
      <c r="E558" s="19" t="s">
        <v>116</v>
      </c>
      <c r="F558" s="19" t="s">
        <v>488</v>
      </c>
      <c r="G558" s="19" t="s">
        <v>135</v>
      </c>
      <c r="H558" s="24" t="s">
        <v>59</v>
      </c>
      <c r="I558" s="25" t="s">
        <v>789</v>
      </c>
      <c r="J558" s="19" t="s">
        <v>319</v>
      </c>
      <c r="K558" s="19" t="s">
        <v>78</v>
      </c>
      <c r="L558" s="22" t="s">
        <v>320</v>
      </c>
      <c r="M558" s="26"/>
      <c r="N558" s="26"/>
      <c r="O558" s="26"/>
      <c r="P558" s="26"/>
      <c r="Q558" s="26"/>
    </row>
    <row r="559" ht="15.75" hidden="1" customHeight="1">
      <c r="A559" s="31" t="s">
        <v>39</v>
      </c>
      <c r="B559" s="9" t="s">
        <v>1781</v>
      </c>
      <c r="C559" s="19" t="s">
        <v>871</v>
      </c>
      <c r="D559" s="22" t="s">
        <v>1797</v>
      </c>
      <c r="E559" s="19" t="s">
        <v>116</v>
      </c>
      <c r="F559" s="19" t="s">
        <v>488</v>
      </c>
      <c r="G559" s="19" t="s">
        <v>135</v>
      </c>
      <c r="H559" s="24" t="s">
        <v>59</v>
      </c>
      <c r="I559" s="25" t="s">
        <v>789</v>
      </c>
      <c r="J559" s="19" t="s">
        <v>319</v>
      </c>
      <c r="K559" s="19" t="s">
        <v>78</v>
      </c>
      <c r="L559" s="22" t="s">
        <v>723</v>
      </c>
      <c r="M559" s="26"/>
      <c r="N559" s="26"/>
      <c r="O559" s="26"/>
      <c r="P559" s="26"/>
      <c r="Q559" s="26"/>
    </row>
    <row r="560" ht="15.75" hidden="1" customHeight="1">
      <c r="A560" s="31" t="s">
        <v>39</v>
      </c>
      <c r="B560" s="9" t="s">
        <v>1781</v>
      </c>
      <c r="C560" s="19" t="s">
        <v>871</v>
      </c>
      <c r="D560" s="22" t="s">
        <v>1798</v>
      </c>
      <c r="E560" s="19" t="s">
        <v>116</v>
      </c>
      <c r="F560" s="19" t="s">
        <v>1799</v>
      </c>
      <c r="G560" s="19" t="s">
        <v>135</v>
      </c>
      <c r="H560" s="24" t="s">
        <v>59</v>
      </c>
      <c r="I560" s="25" t="s">
        <v>789</v>
      </c>
      <c r="J560" s="19" t="s">
        <v>319</v>
      </c>
      <c r="K560" s="19" t="s">
        <v>78</v>
      </c>
      <c r="L560" s="22" t="s">
        <v>320</v>
      </c>
      <c r="M560" s="26"/>
      <c r="N560" s="26"/>
      <c r="O560" s="26"/>
      <c r="P560" s="26"/>
      <c r="Q560" s="26"/>
    </row>
    <row r="561" ht="15.75" hidden="1" customHeight="1">
      <c r="A561" s="31" t="s">
        <v>39</v>
      </c>
      <c r="B561" s="9" t="s">
        <v>1781</v>
      </c>
      <c r="C561" s="19" t="s">
        <v>871</v>
      </c>
      <c r="D561" s="22" t="s">
        <v>1800</v>
      </c>
      <c r="E561" s="19" t="s">
        <v>116</v>
      </c>
      <c r="F561" s="19" t="s">
        <v>488</v>
      </c>
      <c r="G561" s="19" t="s">
        <v>135</v>
      </c>
      <c r="H561" s="24" t="s">
        <v>59</v>
      </c>
      <c r="I561" s="25" t="s">
        <v>789</v>
      </c>
      <c r="J561" s="19" t="s">
        <v>319</v>
      </c>
      <c r="K561" s="19" t="s">
        <v>78</v>
      </c>
      <c r="L561" s="22" t="s">
        <v>723</v>
      </c>
      <c r="M561" s="26"/>
      <c r="N561" s="26"/>
      <c r="O561" s="26"/>
      <c r="P561" s="26"/>
      <c r="Q561" s="26"/>
    </row>
    <row r="562" ht="15.75" customHeight="1">
      <c r="A562" s="31" t="s">
        <v>39</v>
      </c>
      <c r="B562" s="9" t="s">
        <v>1781</v>
      </c>
      <c r="C562" s="19" t="s">
        <v>1801</v>
      </c>
      <c r="D562" s="22" t="s">
        <v>1802</v>
      </c>
      <c r="E562" s="19" t="s">
        <v>116</v>
      </c>
      <c r="F562" s="19" t="s">
        <v>1803</v>
      </c>
      <c r="G562" s="19" t="s">
        <v>90</v>
      </c>
      <c r="H562" s="22" t="s">
        <v>365</v>
      </c>
      <c r="I562" s="25" t="s">
        <v>1804</v>
      </c>
      <c r="J562" s="19"/>
      <c r="K562" s="19" t="s">
        <v>100</v>
      </c>
      <c r="L562" s="22"/>
      <c r="M562" s="26"/>
      <c r="N562" s="26"/>
      <c r="O562" s="26"/>
      <c r="P562" s="26"/>
      <c r="Q562" s="26"/>
    </row>
    <row r="563" ht="15.75" customHeight="1">
      <c r="A563" s="31" t="s">
        <v>39</v>
      </c>
      <c r="B563" s="9" t="s">
        <v>1781</v>
      </c>
      <c r="C563" s="19" t="s">
        <v>1805</v>
      </c>
      <c r="D563" s="22" t="s">
        <v>791</v>
      </c>
      <c r="E563" s="19" t="s">
        <v>116</v>
      </c>
      <c r="F563" s="19" t="s">
        <v>521</v>
      </c>
      <c r="G563" s="19" t="s">
        <v>90</v>
      </c>
      <c r="H563" s="22" t="s">
        <v>365</v>
      </c>
      <c r="I563" s="25" t="s">
        <v>1806</v>
      </c>
      <c r="J563" s="19"/>
      <c r="K563" s="19" t="s">
        <v>125</v>
      </c>
      <c r="L563" s="22"/>
      <c r="M563" s="26"/>
      <c r="N563" s="26"/>
      <c r="O563" s="26"/>
      <c r="P563" s="26"/>
      <c r="Q563" s="26"/>
    </row>
    <row r="564" ht="15.75" hidden="1" customHeight="1">
      <c r="A564" s="31" t="s">
        <v>39</v>
      </c>
      <c r="B564" s="9" t="s">
        <v>1781</v>
      </c>
      <c r="C564" s="19" t="s">
        <v>1807</v>
      </c>
      <c r="D564" s="22" t="s">
        <v>1808</v>
      </c>
      <c r="E564" s="19" t="s">
        <v>54</v>
      </c>
      <c r="F564" s="19" t="s">
        <v>295</v>
      </c>
      <c r="G564" s="19" t="s">
        <v>57</v>
      </c>
      <c r="H564" s="22" t="s">
        <v>365</v>
      </c>
      <c r="I564" s="25" t="s">
        <v>1809</v>
      </c>
      <c r="J564" s="19" t="s">
        <v>319</v>
      </c>
      <c r="K564" s="19" t="s">
        <v>52</v>
      </c>
      <c r="L564" s="22" t="s">
        <v>1810</v>
      </c>
      <c r="M564" s="26"/>
      <c r="N564" s="26"/>
      <c r="O564" s="26"/>
      <c r="P564" s="26"/>
      <c r="Q564" s="26"/>
    </row>
    <row r="565" ht="15.75" hidden="1" customHeight="1">
      <c r="A565" s="31" t="s">
        <v>39</v>
      </c>
      <c r="B565" s="9" t="s">
        <v>1781</v>
      </c>
      <c r="C565" s="19" t="s">
        <v>362</v>
      </c>
      <c r="D565" s="22" t="s">
        <v>1811</v>
      </c>
      <c r="E565" s="19" t="s">
        <v>124</v>
      </c>
      <c r="F565" s="19" t="s">
        <v>364</v>
      </c>
      <c r="G565" s="19" t="s">
        <v>135</v>
      </c>
      <c r="H565" s="22" t="s">
        <v>365</v>
      </c>
      <c r="I565" s="25" t="s">
        <v>1812</v>
      </c>
      <c r="J565" s="19"/>
      <c r="K565" s="19" t="s">
        <v>117</v>
      </c>
      <c r="L565" s="22" t="s">
        <v>1813</v>
      </c>
      <c r="M565" s="26"/>
      <c r="N565" s="26"/>
      <c r="O565" s="26"/>
      <c r="P565" s="26"/>
      <c r="Q565" s="26"/>
    </row>
    <row r="566" ht="15.75" customHeight="1">
      <c r="A566" s="31" t="s">
        <v>39</v>
      </c>
      <c r="B566" s="9" t="s">
        <v>1781</v>
      </c>
      <c r="C566" s="19" t="s">
        <v>1814</v>
      </c>
      <c r="D566" s="22" t="s">
        <v>1815</v>
      </c>
      <c r="E566" s="19" t="s">
        <v>116</v>
      </c>
      <c r="F566" s="19" t="s">
        <v>1816</v>
      </c>
      <c r="G566" s="19" t="s">
        <v>90</v>
      </c>
      <c r="H566" s="22" t="s">
        <v>365</v>
      </c>
      <c r="I566" s="25" t="s">
        <v>1817</v>
      </c>
      <c r="J566" s="19"/>
      <c r="K566" s="19" t="s">
        <v>100</v>
      </c>
      <c r="L566" s="22"/>
      <c r="M566" s="26"/>
      <c r="N566" s="26"/>
      <c r="O566" s="26"/>
      <c r="P566" s="26"/>
      <c r="Q566" s="26"/>
    </row>
    <row r="567" ht="15.75" customHeight="1">
      <c r="A567" s="31" t="s">
        <v>39</v>
      </c>
      <c r="B567" s="9" t="s">
        <v>1781</v>
      </c>
      <c r="C567" s="19" t="s">
        <v>1818</v>
      </c>
      <c r="D567" s="22" t="s">
        <v>1819</v>
      </c>
      <c r="E567" s="19" t="s">
        <v>116</v>
      </c>
      <c r="F567" s="19" t="s">
        <v>1820</v>
      </c>
      <c r="G567" s="19" t="s">
        <v>90</v>
      </c>
      <c r="H567" s="22" t="s">
        <v>365</v>
      </c>
      <c r="I567" s="25" t="s">
        <v>1821</v>
      </c>
      <c r="J567" s="19"/>
      <c r="K567" s="19" t="s">
        <v>100</v>
      </c>
      <c r="L567" s="22" t="s">
        <v>1822</v>
      </c>
      <c r="M567" s="26"/>
      <c r="N567" s="26"/>
      <c r="O567" s="26"/>
      <c r="P567" s="26"/>
      <c r="Q567" s="26"/>
    </row>
    <row r="568" ht="15.75" customHeight="1">
      <c r="A568" s="31" t="s">
        <v>39</v>
      </c>
      <c r="B568" s="9" t="s">
        <v>1781</v>
      </c>
      <c r="C568" s="19" t="s">
        <v>1823</v>
      </c>
      <c r="D568" s="22" t="s">
        <v>1824</v>
      </c>
      <c r="E568" s="19" t="s">
        <v>116</v>
      </c>
      <c r="F568" s="19" t="s">
        <v>1825</v>
      </c>
      <c r="G568" s="19" t="s">
        <v>90</v>
      </c>
      <c r="H568" s="22" t="s">
        <v>365</v>
      </c>
      <c r="I568" s="25" t="s">
        <v>1826</v>
      </c>
      <c r="J568" s="19"/>
      <c r="K568" s="19" t="s">
        <v>100</v>
      </c>
      <c r="L568" s="22"/>
      <c r="M568" s="26"/>
      <c r="N568" s="26"/>
      <c r="O568" s="26"/>
      <c r="P568" s="26"/>
      <c r="Q568" s="26"/>
    </row>
    <row r="569" ht="15.75" hidden="1" customHeight="1">
      <c r="A569" s="31" t="s">
        <v>39</v>
      </c>
      <c r="B569" s="9" t="s">
        <v>1781</v>
      </c>
      <c r="C569" s="19" t="s">
        <v>1827</v>
      </c>
      <c r="D569" s="22" t="s">
        <v>1828</v>
      </c>
      <c r="E569" s="19" t="s">
        <v>116</v>
      </c>
      <c r="F569" s="19" t="s">
        <v>1829</v>
      </c>
      <c r="G569" s="19" t="s">
        <v>57</v>
      </c>
      <c r="H569" s="22" t="s">
        <v>365</v>
      </c>
      <c r="I569" s="25" t="s">
        <v>1830</v>
      </c>
      <c r="J569" s="19" t="s">
        <v>982</v>
      </c>
      <c r="K569" s="19" t="s">
        <v>66</v>
      </c>
      <c r="L569" s="22"/>
      <c r="M569" s="26"/>
      <c r="N569" s="26"/>
      <c r="O569" s="26"/>
      <c r="P569" s="26"/>
      <c r="Q569" s="26"/>
    </row>
    <row r="570" ht="15.75" hidden="1" customHeight="1">
      <c r="A570" s="31" t="s">
        <v>39</v>
      </c>
      <c r="B570" s="9" t="s">
        <v>1781</v>
      </c>
      <c r="C570" s="19" t="s">
        <v>1827</v>
      </c>
      <c r="D570" s="22" t="s">
        <v>1831</v>
      </c>
      <c r="E570" s="19" t="s">
        <v>116</v>
      </c>
      <c r="F570" s="19" t="s">
        <v>1829</v>
      </c>
      <c r="G570" s="19" t="s">
        <v>57</v>
      </c>
      <c r="H570" s="22" t="s">
        <v>365</v>
      </c>
      <c r="I570" s="25" t="s">
        <v>1832</v>
      </c>
      <c r="J570" s="19" t="s">
        <v>982</v>
      </c>
      <c r="K570" s="19" t="s">
        <v>66</v>
      </c>
      <c r="L570" s="22"/>
      <c r="M570" s="26"/>
      <c r="N570" s="26"/>
      <c r="O570" s="26"/>
      <c r="P570" s="26"/>
      <c r="Q570" s="26"/>
    </row>
    <row r="571" ht="15.75" customHeight="1">
      <c r="A571" s="31" t="s">
        <v>39</v>
      </c>
      <c r="B571" s="9" t="s">
        <v>1781</v>
      </c>
      <c r="C571" s="19" t="s">
        <v>1538</v>
      </c>
      <c r="D571" s="22" t="s">
        <v>1833</v>
      </c>
      <c r="E571" s="19" t="s">
        <v>116</v>
      </c>
      <c r="F571" s="19" t="s">
        <v>1539</v>
      </c>
      <c r="G571" s="19" t="s">
        <v>90</v>
      </c>
      <c r="H571" s="22" t="s">
        <v>365</v>
      </c>
      <c r="I571" s="25" t="s">
        <v>1834</v>
      </c>
      <c r="J571" s="19"/>
      <c r="K571" s="19" t="s">
        <v>125</v>
      </c>
      <c r="L571" s="22" t="s">
        <v>1835</v>
      </c>
      <c r="M571" s="26"/>
      <c r="N571" s="26"/>
      <c r="O571" s="26"/>
      <c r="P571" s="26"/>
      <c r="Q571" s="26"/>
    </row>
    <row r="572" ht="15.75" hidden="1" customHeight="1">
      <c r="A572" s="31" t="s">
        <v>39</v>
      </c>
      <c r="B572" s="9" t="s">
        <v>1836</v>
      </c>
      <c r="C572" s="19" t="s">
        <v>1837</v>
      </c>
      <c r="D572" s="22" t="s">
        <v>1838</v>
      </c>
      <c r="E572" s="19" t="s">
        <v>54</v>
      </c>
      <c r="F572" s="19" t="s">
        <v>295</v>
      </c>
      <c r="G572" s="19" t="s">
        <v>135</v>
      </c>
      <c r="H572" s="22" t="s">
        <v>155</v>
      </c>
      <c r="I572" s="25" t="s">
        <v>1839</v>
      </c>
      <c r="J572" s="19"/>
      <c r="K572" s="19" t="s">
        <v>74</v>
      </c>
      <c r="L572" s="22" t="s">
        <v>723</v>
      </c>
      <c r="M572" s="26"/>
      <c r="N572" s="26"/>
      <c r="O572" s="26"/>
      <c r="P572" s="26"/>
      <c r="Q572" s="26"/>
    </row>
    <row r="573" ht="15.75" hidden="1" customHeight="1">
      <c r="A573" s="31" t="s">
        <v>39</v>
      </c>
      <c r="B573" s="9" t="s">
        <v>1836</v>
      </c>
      <c r="C573" s="19" t="s">
        <v>1840</v>
      </c>
      <c r="D573" s="22" t="s">
        <v>1841</v>
      </c>
      <c r="E573" s="19" t="s">
        <v>54</v>
      </c>
      <c r="F573" s="19" t="s">
        <v>295</v>
      </c>
      <c r="G573" s="19" t="s">
        <v>135</v>
      </c>
      <c r="H573" s="22" t="s">
        <v>155</v>
      </c>
      <c r="I573" s="25" t="s">
        <v>1842</v>
      </c>
      <c r="J573" s="19"/>
      <c r="K573" s="19" t="s">
        <v>74</v>
      </c>
      <c r="L573" s="22" t="s">
        <v>723</v>
      </c>
      <c r="M573" s="26"/>
      <c r="N573" s="26"/>
      <c r="O573" s="26"/>
      <c r="P573" s="26"/>
      <c r="Q573" s="26"/>
    </row>
    <row r="574" ht="15.75" hidden="1" customHeight="1">
      <c r="A574" s="31" t="s">
        <v>39</v>
      </c>
      <c r="B574" s="9" t="s">
        <v>1836</v>
      </c>
      <c r="C574" s="19" t="s">
        <v>1843</v>
      </c>
      <c r="D574" s="22" t="s">
        <v>1844</v>
      </c>
      <c r="E574" s="19" t="s">
        <v>54</v>
      </c>
      <c r="F574" s="19" t="s">
        <v>295</v>
      </c>
      <c r="G574" s="19" t="s">
        <v>135</v>
      </c>
      <c r="H574" s="22" t="s">
        <v>155</v>
      </c>
      <c r="I574" s="25" t="s">
        <v>1845</v>
      </c>
      <c r="J574" s="19"/>
      <c r="K574" s="19" t="s">
        <v>122</v>
      </c>
      <c r="L574" s="22" t="s">
        <v>1846</v>
      </c>
      <c r="M574" s="26"/>
      <c r="N574" s="26"/>
      <c r="O574" s="26"/>
      <c r="P574" s="26"/>
      <c r="Q574" s="26"/>
    </row>
    <row r="575" ht="15.75" hidden="1" customHeight="1">
      <c r="A575" s="31" t="s">
        <v>39</v>
      </c>
      <c r="B575" s="9" t="s">
        <v>1836</v>
      </c>
      <c r="C575" s="19" t="s">
        <v>1847</v>
      </c>
      <c r="D575" s="22" t="s">
        <v>1848</v>
      </c>
      <c r="E575" s="19" t="s">
        <v>54</v>
      </c>
      <c r="F575" s="19" t="s">
        <v>335</v>
      </c>
      <c r="G575" s="19" t="s">
        <v>135</v>
      </c>
      <c r="H575" s="22" t="s">
        <v>365</v>
      </c>
      <c r="I575" s="25" t="s">
        <v>1849</v>
      </c>
      <c r="J575" s="19" t="s">
        <v>1850</v>
      </c>
      <c r="K575" s="19" t="s">
        <v>40</v>
      </c>
      <c r="L575" s="22"/>
      <c r="M575" s="26"/>
      <c r="N575" s="26"/>
      <c r="O575" s="26"/>
      <c r="P575" s="26"/>
      <c r="Q575" s="26"/>
    </row>
    <row r="576" ht="15.75" hidden="1" customHeight="1">
      <c r="A576" s="31" t="s">
        <v>39</v>
      </c>
      <c r="B576" s="9" t="s">
        <v>1836</v>
      </c>
      <c r="C576" s="19" t="s">
        <v>1851</v>
      </c>
      <c r="D576" s="22" t="s">
        <v>1852</v>
      </c>
      <c r="E576" s="19" t="s">
        <v>54</v>
      </c>
      <c r="F576" s="19" t="s">
        <v>295</v>
      </c>
      <c r="G576" s="19" t="s">
        <v>135</v>
      </c>
      <c r="H576" s="22" t="s">
        <v>155</v>
      </c>
      <c r="I576" s="25" t="s">
        <v>1853</v>
      </c>
      <c r="J576" s="19"/>
      <c r="K576" s="19" t="s">
        <v>13</v>
      </c>
      <c r="L576" s="22" t="s">
        <v>1854</v>
      </c>
      <c r="M576" s="26"/>
      <c r="N576" s="26"/>
      <c r="O576" s="26"/>
      <c r="P576" s="26"/>
      <c r="Q576" s="26"/>
    </row>
    <row r="577" ht="15.75" customHeight="1">
      <c r="A577" s="31" t="s">
        <v>39</v>
      </c>
      <c r="B577" s="9" t="s">
        <v>1836</v>
      </c>
      <c r="C577" s="19" t="s">
        <v>1855</v>
      </c>
      <c r="D577" s="22" t="s">
        <v>1856</v>
      </c>
      <c r="E577" s="19" t="s">
        <v>115</v>
      </c>
      <c r="F577" s="19" t="s">
        <v>1857</v>
      </c>
      <c r="G577" s="19" t="s">
        <v>90</v>
      </c>
      <c r="H577" s="24" t="s">
        <v>59</v>
      </c>
      <c r="I577" s="25" t="s">
        <v>1858</v>
      </c>
      <c r="J577" s="19" t="s">
        <v>1106</v>
      </c>
      <c r="K577" s="19" t="s">
        <v>78</v>
      </c>
      <c r="L577" s="22" t="s">
        <v>1859</v>
      </c>
      <c r="M577" s="26"/>
      <c r="N577" s="26"/>
      <c r="O577" s="26"/>
      <c r="P577" s="26"/>
      <c r="Q577" s="26"/>
    </row>
    <row r="578" ht="15.75" customHeight="1">
      <c r="A578" s="31" t="s">
        <v>39</v>
      </c>
      <c r="B578" s="9" t="s">
        <v>1836</v>
      </c>
      <c r="C578" s="19" t="s">
        <v>1855</v>
      </c>
      <c r="D578" s="22" t="s">
        <v>1860</v>
      </c>
      <c r="E578" s="19" t="s">
        <v>115</v>
      </c>
      <c r="F578" s="19" t="s">
        <v>1857</v>
      </c>
      <c r="G578" s="19" t="s">
        <v>90</v>
      </c>
      <c r="H578" s="24" t="s">
        <v>59</v>
      </c>
      <c r="I578" s="25" t="s">
        <v>1858</v>
      </c>
      <c r="J578" s="19" t="s">
        <v>1106</v>
      </c>
      <c r="K578" s="19" t="s">
        <v>78</v>
      </c>
      <c r="L578" s="22" t="s">
        <v>1859</v>
      </c>
      <c r="M578" s="26"/>
      <c r="N578" s="26"/>
      <c r="O578" s="26"/>
      <c r="P578" s="26"/>
      <c r="Q578" s="26"/>
    </row>
    <row r="579" ht="15.75" hidden="1" customHeight="1">
      <c r="A579" s="31" t="s">
        <v>39</v>
      </c>
      <c r="B579" s="9" t="s">
        <v>1836</v>
      </c>
      <c r="C579" s="19" t="s">
        <v>1861</v>
      </c>
      <c r="D579" s="22" t="s">
        <v>1862</v>
      </c>
      <c r="E579" s="19" t="s">
        <v>54</v>
      </c>
      <c r="F579" s="19" t="s">
        <v>295</v>
      </c>
      <c r="G579" s="19" t="s">
        <v>135</v>
      </c>
      <c r="H579" s="22" t="s">
        <v>155</v>
      </c>
      <c r="I579" s="25" t="s">
        <v>1863</v>
      </c>
      <c r="J579" s="19" t="s">
        <v>558</v>
      </c>
      <c r="K579" s="19" t="s">
        <v>94</v>
      </c>
      <c r="L579" s="22" t="s">
        <v>1864</v>
      </c>
      <c r="M579" s="26"/>
      <c r="N579" s="26"/>
      <c r="O579" s="26"/>
      <c r="P579" s="26"/>
      <c r="Q579" s="26"/>
    </row>
    <row r="580" ht="15.75" hidden="1" customHeight="1">
      <c r="A580" s="31" t="s">
        <v>39</v>
      </c>
      <c r="B580" s="9" t="s">
        <v>1836</v>
      </c>
      <c r="C580" s="19" t="s">
        <v>1865</v>
      </c>
      <c r="D580" s="22" t="s">
        <v>334</v>
      </c>
      <c r="E580" s="19" t="s">
        <v>54</v>
      </c>
      <c r="F580" s="19" t="s">
        <v>295</v>
      </c>
      <c r="G580" s="19" t="s">
        <v>135</v>
      </c>
      <c r="H580" s="22" t="s">
        <v>155</v>
      </c>
      <c r="I580" s="25" t="s">
        <v>1866</v>
      </c>
      <c r="J580" s="19"/>
      <c r="K580" s="19" t="s">
        <v>74</v>
      </c>
      <c r="L580" s="22" t="s">
        <v>723</v>
      </c>
      <c r="M580" s="26"/>
      <c r="N580" s="26"/>
      <c r="O580" s="26"/>
      <c r="P580" s="26"/>
      <c r="Q580" s="26"/>
    </row>
    <row r="581" ht="15.75" hidden="1" customHeight="1">
      <c r="A581" s="31" t="s">
        <v>39</v>
      </c>
      <c r="B581" s="9" t="s">
        <v>1836</v>
      </c>
      <c r="C581" s="19" t="s">
        <v>1557</v>
      </c>
      <c r="D581" s="22" t="s">
        <v>1867</v>
      </c>
      <c r="E581" s="19" t="s">
        <v>88</v>
      </c>
      <c r="F581" s="19" t="s">
        <v>241</v>
      </c>
      <c r="G581" s="19" t="s">
        <v>135</v>
      </c>
      <c r="H581" s="22" t="s">
        <v>365</v>
      </c>
      <c r="I581" s="25" t="s">
        <v>1868</v>
      </c>
      <c r="J581" s="19"/>
      <c r="K581" s="19" t="s">
        <v>13</v>
      </c>
      <c r="L581" s="22" t="s">
        <v>1869</v>
      </c>
      <c r="M581" s="26"/>
      <c r="N581" s="26"/>
      <c r="O581" s="26"/>
      <c r="P581" s="26"/>
      <c r="Q581" s="26"/>
    </row>
    <row r="582" ht="15.75" hidden="1" customHeight="1">
      <c r="A582" s="31" t="s">
        <v>39</v>
      </c>
      <c r="B582" s="9" t="s">
        <v>1836</v>
      </c>
      <c r="C582" s="19" t="s">
        <v>1870</v>
      </c>
      <c r="D582" s="22" t="s">
        <v>1871</v>
      </c>
      <c r="E582" s="19" t="s">
        <v>54</v>
      </c>
      <c r="F582" s="19" t="s">
        <v>335</v>
      </c>
      <c r="G582" s="19" t="s">
        <v>135</v>
      </c>
      <c r="H582" s="22" t="s">
        <v>365</v>
      </c>
      <c r="I582" s="25" t="s">
        <v>1872</v>
      </c>
      <c r="J582" s="19"/>
      <c r="K582" s="19" t="s">
        <v>40</v>
      </c>
      <c r="L582" s="22"/>
      <c r="M582" s="26"/>
      <c r="N582" s="26"/>
      <c r="O582" s="26"/>
      <c r="P582" s="26"/>
      <c r="Q582" s="26"/>
    </row>
    <row r="583" ht="15.75" hidden="1" customHeight="1">
      <c r="A583" s="31" t="s">
        <v>39</v>
      </c>
      <c r="B583" s="9" t="s">
        <v>1836</v>
      </c>
      <c r="C583" s="19" t="s">
        <v>1873</v>
      </c>
      <c r="D583" s="22" t="s">
        <v>1874</v>
      </c>
      <c r="E583" s="19" t="s">
        <v>54</v>
      </c>
      <c r="F583" s="19" t="s">
        <v>335</v>
      </c>
      <c r="G583" s="19" t="s">
        <v>135</v>
      </c>
      <c r="H583" s="22" t="s">
        <v>365</v>
      </c>
      <c r="I583" s="25" t="s">
        <v>1875</v>
      </c>
      <c r="J583" s="19" t="s">
        <v>456</v>
      </c>
      <c r="K583" s="19" t="s">
        <v>40</v>
      </c>
      <c r="L583" s="22" t="s">
        <v>1876</v>
      </c>
      <c r="M583" s="26"/>
      <c r="N583" s="26"/>
      <c r="O583" s="26"/>
      <c r="P583" s="26"/>
      <c r="Q583" s="26"/>
    </row>
    <row r="584" ht="15.75" hidden="1" customHeight="1">
      <c r="A584" s="31" t="s">
        <v>39</v>
      </c>
      <c r="B584" s="9" t="s">
        <v>1836</v>
      </c>
      <c r="C584" s="19" t="s">
        <v>1877</v>
      </c>
      <c r="D584" s="22" t="s">
        <v>1878</v>
      </c>
      <c r="E584" s="19" t="s">
        <v>88</v>
      </c>
      <c r="F584" s="19" t="s">
        <v>241</v>
      </c>
      <c r="G584" s="19" t="s">
        <v>135</v>
      </c>
      <c r="H584" s="22" t="s">
        <v>365</v>
      </c>
      <c r="I584" s="25" t="s">
        <v>1879</v>
      </c>
      <c r="J584" s="19" t="s">
        <v>627</v>
      </c>
      <c r="K584" s="19" t="s">
        <v>82</v>
      </c>
      <c r="L584" s="22"/>
      <c r="M584" s="26"/>
      <c r="N584" s="26"/>
      <c r="O584" s="26"/>
      <c r="P584" s="26"/>
      <c r="Q584" s="26"/>
    </row>
    <row r="585" ht="15.75" hidden="1" customHeight="1">
      <c r="A585" s="31" t="s">
        <v>39</v>
      </c>
      <c r="B585" s="9" t="s">
        <v>1836</v>
      </c>
      <c r="C585" s="19" t="s">
        <v>1880</v>
      </c>
      <c r="D585" s="22" t="s">
        <v>1881</v>
      </c>
      <c r="E585" s="19" t="s">
        <v>54</v>
      </c>
      <c r="F585" s="19" t="s">
        <v>295</v>
      </c>
      <c r="G585" s="19" t="s">
        <v>135</v>
      </c>
      <c r="H585" s="22" t="s">
        <v>155</v>
      </c>
      <c r="I585" s="25" t="s">
        <v>1882</v>
      </c>
      <c r="J585" s="19"/>
      <c r="K585" s="19" t="s">
        <v>74</v>
      </c>
      <c r="L585" s="22" t="s">
        <v>723</v>
      </c>
      <c r="M585" s="26"/>
      <c r="N585" s="26"/>
      <c r="O585" s="26"/>
      <c r="P585" s="26"/>
      <c r="Q585" s="26"/>
    </row>
    <row r="586" ht="15.75" hidden="1" customHeight="1">
      <c r="A586" s="31" t="s">
        <v>39</v>
      </c>
      <c r="B586" s="9" t="s">
        <v>1836</v>
      </c>
      <c r="C586" s="19" t="s">
        <v>1883</v>
      </c>
      <c r="D586" s="22" t="s">
        <v>1884</v>
      </c>
      <c r="E586" s="19" t="s">
        <v>54</v>
      </c>
      <c r="F586" s="19" t="s">
        <v>335</v>
      </c>
      <c r="G586" s="19" t="s">
        <v>135</v>
      </c>
      <c r="H586" s="22" t="s">
        <v>365</v>
      </c>
      <c r="I586" s="25" t="s">
        <v>1885</v>
      </c>
      <c r="J586" s="19" t="s">
        <v>1886</v>
      </c>
      <c r="K586" s="19" t="s">
        <v>40</v>
      </c>
      <c r="L586" s="22"/>
      <c r="M586" s="26"/>
      <c r="N586" s="26"/>
      <c r="O586" s="26"/>
      <c r="P586" s="26"/>
      <c r="Q586" s="26"/>
    </row>
    <row r="587" ht="15.75" hidden="1" customHeight="1">
      <c r="A587" s="31" t="s">
        <v>39</v>
      </c>
      <c r="B587" s="9" t="s">
        <v>1836</v>
      </c>
      <c r="C587" s="19" t="s">
        <v>1887</v>
      </c>
      <c r="D587" s="22" t="s">
        <v>1888</v>
      </c>
      <c r="E587" s="19" t="s">
        <v>54</v>
      </c>
      <c r="F587" s="19" t="s">
        <v>295</v>
      </c>
      <c r="G587" s="19" t="s">
        <v>135</v>
      </c>
      <c r="H587" s="22" t="s">
        <v>155</v>
      </c>
      <c r="I587" s="25" t="s">
        <v>1889</v>
      </c>
      <c r="J587" s="19"/>
      <c r="K587" s="19" t="s">
        <v>74</v>
      </c>
      <c r="L587" s="22" t="s">
        <v>723</v>
      </c>
      <c r="M587" s="26"/>
      <c r="N587" s="26"/>
      <c r="O587" s="26"/>
      <c r="P587" s="26"/>
      <c r="Q587" s="26"/>
    </row>
    <row r="588" ht="15.75" hidden="1" customHeight="1">
      <c r="A588" s="31" t="s">
        <v>39</v>
      </c>
      <c r="B588" s="9" t="s">
        <v>1836</v>
      </c>
      <c r="C588" s="19" t="s">
        <v>1890</v>
      </c>
      <c r="D588" s="22" t="s">
        <v>1891</v>
      </c>
      <c r="E588" s="19" t="s">
        <v>88</v>
      </c>
      <c r="F588" s="19" t="s">
        <v>1892</v>
      </c>
      <c r="G588" s="19" t="s">
        <v>135</v>
      </c>
      <c r="H588" s="22" t="s">
        <v>365</v>
      </c>
      <c r="I588" s="25" t="s">
        <v>1893</v>
      </c>
      <c r="J588" s="19"/>
      <c r="K588" s="19" t="s">
        <v>117</v>
      </c>
      <c r="L588" s="22" t="s">
        <v>1894</v>
      </c>
      <c r="M588" s="26"/>
      <c r="N588" s="26"/>
      <c r="O588" s="26"/>
      <c r="P588" s="26"/>
      <c r="Q588" s="26"/>
    </row>
    <row r="589" ht="15.75" hidden="1" customHeight="1">
      <c r="A589" s="31" t="s">
        <v>39</v>
      </c>
      <c r="B589" s="9" t="s">
        <v>1836</v>
      </c>
      <c r="C589" s="19" t="s">
        <v>1442</v>
      </c>
      <c r="D589" s="22" t="s">
        <v>1895</v>
      </c>
      <c r="E589" s="19" t="s">
        <v>88</v>
      </c>
      <c r="F589" s="19" t="s">
        <v>1167</v>
      </c>
      <c r="G589" s="19" t="s">
        <v>135</v>
      </c>
      <c r="H589" s="22" t="s">
        <v>365</v>
      </c>
      <c r="I589" s="25" t="s">
        <v>1896</v>
      </c>
      <c r="J589" s="19"/>
      <c r="K589" s="19" t="s">
        <v>137</v>
      </c>
      <c r="L589" s="22" t="s">
        <v>1897</v>
      </c>
      <c r="M589" s="26"/>
      <c r="N589" s="26"/>
      <c r="O589" s="26"/>
      <c r="P589" s="26"/>
      <c r="Q589" s="26"/>
    </row>
    <row r="590" ht="15.75" hidden="1" customHeight="1">
      <c r="A590" s="31" t="s">
        <v>39</v>
      </c>
      <c r="B590" s="9" t="s">
        <v>1836</v>
      </c>
      <c r="C590" s="19" t="s">
        <v>1898</v>
      </c>
      <c r="D590" s="22" t="s">
        <v>1899</v>
      </c>
      <c r="E590" s="19" t="s">
        <v>88</v>
      </c>
      <c r="F590" s="19" t="s">
        <v>508</v>
      </c>
      <c r="G590" s="19" t="s">
        <v>135</v>
      </c>
      <c r="H590" s="22" t="s">
        <v>365</v>
      </c>
      <c r="I590" s="25" t="s">
        <v>1900</v>
      </c>
      <c r="J590" s="19"/>
      <c r="K590" s="19" t="s">
        <v>13</v>
      </c>
      <c r="L590" s="22" t="s">
        <v>1901</v>
      </c>
      <c r="M590" s="26"/>
      <c r="N590" s="26"/>
      <c r="O590" s="26"/>
      <c r="P590" s="26"/>
      <c r="Q590" s="26"/>
    </row>
    <row r="591" ht="15.75" hidden="1" customHeight="1">
      <c r="A591" s="31" t="s">
        <v>39</v>
      </c>
      <c r="B591" s="9" t="s">
        <v>1836</v>
      </c>
      <c r="C591" s="19" t="s">
        <v>1902</v>
      </c>
      <c r="D591" s="22" t="s">
        <v>1899</v>
      </c>
      <c r="E591" s="19" t="s">
        <v>88</v>
      </c>
      <c r="F591" s="19" t="s">
        <v>508</v>
      </c>
      <c r="G591" s="19" t="s">
        <v>135</v>
      </c>
      <c r="H591" s="22" t="s">
        <v>365</v>
      </c>
      <c r="I591" s="25" t="s">
        <v>1903</v>
      </c>
      <c r="J591" s="19" t="s">
        <v>1904</v>
      </c>
      <c r="K591" s="19" t="s">
        <v>40</v>
      </c>
      <c r="L591" s="22" t="s">
        <v>1905</v>
      </c>
      <c r="M591" s="26"/>
      <c r="N591" s="26"/>
      <c r="O591" s="26"/>
      <c r="P591" s="26"/>
      <c r="Q591" s="26"/>
    </row>
    <row r="592" ht="15.75" hidden="1" customHeight="1">
      <c r="A592" s="31" t="s">
        <v>39</v>
      </c>
      <c r="B592" s="9" t="s">
        <v>1836</v>
      </c>
      <c r="C592" s="19" t="s">
        <v>1906</v>
      </c>
      <c r="D592" s="22" t="s">
        <v>1907</v>
      </c>
      <c r="E592" s="19" t="s">
        <v>88</v>
      </c>
      <c r="F592" s="19" t="s">
        <v>1908</v>
      </c>
      <c r="G592" s="19" t="s">
        <v>135</v>
      </c>
      <c r="H592" s="22" t="s">
        <v>365</v>
      </c>
      <c r="I592" s="25" t="s">
        <v>1909</v>
      </c>
      <c r="J592" s="19" t="s">
        <v>1314</v>
      </c>
      <c r="K592" s="19" t="s">
        <v>82</v>
      </c>
      <c r="L592" s="22" t="s">
        <v>1910</v>
      </c>
      <c r="M592" s="26"/>
      <c r="N592" s="26"/>
      <c r="O592" s="26"/>
      <c r="P592" s="26"/>
      <c r="Q592" s="26"/>
    </row>
    <row r="593" ht="15.75" hidden="1" customHeight="1">
      <c r="A593" s="31" t="s">
        <v>39</v>
      </c>
      <c r="B593" s="9" t="s">
        <v>1836</v>
      </c>
      <c r="C593" s="19" t="s">
        <v>1911</v>
      </c>
      <c r="D593" s="22" t="s">
        <v>1912</v>
      </c>
      <c r="E593" s="19" t="s">
        <v>88</v>
      </c>
      <c r="F593" s="19" t="s">
        <v>494</v>
      </c>
      <c r="G593" s="19" t="s">
        <v>135</v>
      </c>
      <c r="H593" s="22" t="s">
        <v>365</v>
      </c>
      <c r="I593" s="25" t="s">
        <v>1913</v>
      </c>
      <c r="J593" s="19" t="s">
        <v>1211</v>
      </c>
      <c r="K593" s="19" t="s">
        <v>40</v>
      </c>
      <c r="L593" s="22" t="s">
        <v>1914</v>
      </c>
      <c r="M593" s="26"/>
      <c r="N593" s="26"/>
      <c r="O593" s="26"/>
      <c r="P593" s="26"/>
      <c r="Q593" s="26"/>
    </row>
    <row r="594" ht="15.75" hidden="1" customHeight="1">
      <c r="A594" s="31" t="s">
        <v>39</v>
      </c>
      <c r="B594" s="9" t="s">
        <v>1836</v>
      </c>
      <c r="C594" s="19" t="s">
        <v>1915</v>
      </c>
      <c r="D594" s="22" t="s">
        <v>1916</v>
      </c>
      <c r="E594" s="19" t="s">
        <v>88</v>
      </c>
      <c r="F594" s="19" t="s">
        <v>1167</v>
      </c>
      <c r="G594" s="19" t="s">
        <v>135</v>
      </c>
      <c r="H594" s="22" t="s">
        <v>365</v>
      </c>
      <c r="I594" s="25" t="s">
        <v>1917</v>
      </c>
      <c r="J594" s="19"/>
      <c r="K594" s="19" t="s">
        <v>99</v>
      </c>
      <c r="L594" s="22" t="s">
        <v>1918</v>
      </c>
      <c r="M594" s="26"/>
      <c r="N594" s="26"/>
      <c r="O594" s="26"/>
      <c r="P594" s="26"/>
      <c r="Q594" s="26"/>
    </row>
    <row r="595" ht="15.75" hidden="1" customHeight="1">
      <c r="A595" s="31" t="s">
        <v>39</v>
      </c>
      <c r="B595" s="9" t="s">
        <v>1836</v>
      </c>
      <c r="C595" s="19" t="s">
        <v>1919</v>
      </c>
      <c r="D595" s="22" t="s">
        <v>1920</v>
      </c>
      <c r="E595" s="19" t="s">
        <v>88</v>
      </c>
      <c r="F595" s="19" t="s">
        <v>55</v>
      </c>
      <c r="G595" s="19" t="s">
        <v>135</v>
      </c>
      <c r="H595" s="22" t="s">
        <v>365</v>
      </c>
      <c r="I595" s="25" t="s">
        <v>1921</v>
      </c>
      <c r="J595" s="19"/>
      <c r="K595" s="19" t="s">
        <v>122</v>
      </c>
      <c r="L595" s="22" t="s">
        <v>539</v>
      </c>
      <c r="M595" s="26"/>
      <c r="N595" s="26"/>
      <c r="O595" s="26"/>
      <c r="P595" s="26"/>
      <c r="Q595" s="26"/>
    </row>
    <row r="596" ht="15.75" hidden="1" customHeight="1">
      <c r="A596" s="31" t="s">
        <v>39</v>
      </c>
      <c r="B596" s="9" t="s">
        <v>1836</v>
      </c>
      <c r="C596" s="19" t="s">
        <v>1922</v>
      </c>
      <c r="D596" s="22" t="s">
        <v>1923</v>
      </c>
      <c r="E596" s="19" t="s">
        <v>88</v>
      </c>
      <c r="F596" s="19" t="s">
        <v>1236</v>
      </c>
      <c r="G596" s="19" t="s">
        <v>142</v>
      </c>
      <c r="H596" s="22" t="s">
        <v>365</v>
      </c>
      <c r="I596" s="25" t="s">
        <v>1924</v>
      </c>
      <c r="J596" s="19" t="s">
        <v>1314</v>
      </c>
      <c r="K596" s="19" t="s">
        <v>82</v>
      </c>
      <c r="L596" s="22" t="s">
        <v>1925</v>
      </c>
      <c r="M596" s="26"/>
      <c r="N596" s="26"/>
      <c r="O596" s="26"/>
      <c r="P596" s="26"/>
      <c r="Q596" s="26"/>
    </row>
    <row r="597" ht="15.75" hidden="1" customHeight="1">
      <c r="A597" s="31" t="s">
        <v>39</v>
      </c>
      <c r="B597" s="9" t="s">
        <v>1836</v>
      </c>
      <c r="C597" s="19" t="s">
        <v>1926</v>
      </c>
      <c r="D597" s="22" t="s">
        <v>1061</v>
      </c>
      <c r="E597" s="19" t="s">
        <v>54</v>
      </c>
      <c r="F597" s="19" t="s">
        <v>295</v>
      </c>
      <c r="G597" s="19" t="s">
        <v>135</v>
      </c>
      <c r="H597" s="22" t="s">
        <v>155</v>
      </c>
      <c r="I597" s="25" t="s">
        <v>1927</v>
      </c>
      <c r="J597" s="19"/>
      <c r="K597" s="19" t="s">
        <v>74</v>
      </c>
      <c r="L597" s="22" t="s">
        <v>723</v>
      </c>
      <c r="M597" s="26"/>
      <c r="N597" s="26"/>
      <c r="O597" s="26"/>
      <c r="P597" s="26"/>
      <c r="Q597" s="26"/>
    </row>
    <row r="598" ht="15.75" hidden="1" customHeight="1">
      <c r="A598" s="31" t="s">
        <v>39</v>
      </c>
      <c r="B598" s="9" t="s">
        <v>1836</v>
      </c>
      <c r="C598" s="19" t="s">
        <v>1928</v>
      </c>
      <c r="D598" s="22" t="s">
        <v>1929</v>
      </c>
      <c r="E598" s="19" t="s">
        <v>54</v>
      </c>
      <c r="F598" s="19" t="s">
        <v>335</v>
      </c>
      <c r="G598" s="19" t="s">
        <v>135</v>
      </c>
      <c r="H598" s="22" t="s">
        <v>365</v>
      </c>
      <c r="I598" s="25" t="s">
        <v>1930</v>
      </c>
      <c r="J598" s="19"/>
      <c r="K598" s="19" t="s">
        <v>40</v>
      </c>
      <c r="L598" s="22" t="s">
        <v>1931</v>
      </c>
      <c r="M598" s="26"/>
      <c r="N598" s="26"/>
      <c r="O598" s="26"/>
      <c r="P598" s="26"/>
      <c r="Q598" s="26"/>
    </row>
    <row r="599" ht="15.75" hidden="1" customHeight="1">
      <c r="A599" s="31" t="s">
        <v>39</v>
      </c>
      <c r="B599" s="9" t="s">
        <v>1836</v>
      </c>
      <c r="C599" s="19" t="s">
        <v>1487</v>
      </c>
      <c r="D599" s="22" t="s">
        <v>1932</v>
      </c>
      <c r="E599" s="19" t="s">
        <v>88</v>
      </c>
      <c r="F599" s="19" t="s">
        <v>1220</v>
      </c>
      <c r="G599" s="19" t="s">
        <v>135</v>
      </c>
      <c r="H599" s="22" t="s">
        <v>365</v>
      </c>
      <c r="I599" s="25" t="s">
        <v>1933</v>
      </c>
      <c r="J599" s="19" t="s">
        <v>95</v>
      </c>
      <c r="K599" s="19" t="s">
        <v>82</v>
      </c>
      <c r="L599" s="22" t="s">
        <v>1934</v>
      </c>
      <c r="M599" s="26"/>
      <c r="N599" s="26"/>
      <c r="O599" s="26"/>
      <c r="P599" s="26"/>
      <c r="Q599" s="26"/>
    </row>
    <row r="600" ht="15.75" hidden="1" customHeight="1">
      <c r="A600" s="31" t="s">
        <v>39</v>
      </c>
      <c r="B600" s="9" t="s">
        <v>1836</v>
      </c>
      <c r="C600" s="19" t="s">
        <v>1487</v>
      </c>
      <c r="D600" s="22" t="s">
        <v>1935</v>
      </c>
      <c r="E600" s="19" t="s">
        <v>88</v>
      </c>
      <c r="F600" s="19" t="s">
        <v>1936</v>
      </c>
      <c r="G600" s="19" t="s">
        <v>135</v>
      </c>
      <c r="H600" s="22" t="s">
        <v>365</v>
      </c>
      <c r="I600" s="25" t="s">
        <v>1937</v>
      </c>
      <c r="J600" s="19" t="s">
        <v>1135</v>
      </c>
      <c r="K600" s="19" t="s">
        <v>156</v>
      </c>
      <c r="L600" s="22" t="s">
        <v>1938</v>
      </c>
      <c r="M600" s="26"/>
      <c r="N600" s="26"/>
      <c r="O600" s="26"/>
      <c r="P600" s="26"/>
      <c r="Q600" s="26"/>
    </row>
    <row r="601" ht="15.75" hidden="1" customHeight="1">
      <c r="A601" s="31" t="s">
        <v>39</v>
      </c>
      <c r="B601" s="9" t="s">
        <v>1836</v>
      </c>
      <c r="C601" s="19" t="s">
        <v>1487</v>
      </c>
      <c r="D601" s="22" t="s">
        <v>1939</v>
      </c>
      <c r="E601" s="19" t="s">
        <v>88</v>
      </c>
      <c r="F601" s="19" t="s">
        <v>1940</v>
      </c>
      <c r="G601" s="19" t="s">
        <v>135</v>
      </c>
      <c r="H601" s="22" t="s">
        <v>365</v>
      </c>
      <c r="I601" s="25" t="s">
        <v>1941</v>
      </c>
      <c r="J601" s="19" t="s">
        <v>1135</v>
      </c>
      <c r="K601" s="19" t="s">
        <v>82</v>
      </c>
      <c r="L601" s="22" t="s">
        <v>1942</v>
      </c>
      <c r="M601" s="26"/>
      <c r="N601" s="26"/>
      <c r="O601" s="26"/>
      <c r="P601" s="26"/>
      <c r="Q601" s="26"/>
    </row>
    <row r="602" ht="15.75" hidden="1" customHeight="1">
      <c r="A602" s="31" t="s">
        <v>39</v>
      </c>
      <c r="B602" s="9" t="s">
        <v>1836</v>
      </c>
      <c r="C602" s="19" t="s">
        <v>1943</v>
      </c>
      <c r="D602" s="22" t="s">
        <v>1838</v>
      </c>
      <c r="E602" s="19" t="s">
        <v>54</v>
      </c>
      <c r="F602" s="19" t="s">
        <v>295</v>
      </c>
      <c r="G602" s="19" t="s">
        <v>135</v>
      </c>
      <c r="H602" s="22" t="s">
        <v>155</v>
      </c>
      <c r="I602" s="25" t="s">
        <v>1944</v>
      </c>
      <c r="J602" s="19"/>
      <c r="K602" s="19" t="s">
        <v>74</v>
      </c>
      <c r="L602" s="22" t="s">
        <v>723</v>
      </c>
      <c r="M602" s="26"/>
      <c r="N602" s="26"/>
      <c r="O602" s="26"/>
      <c r="P602" s="26"/>
      <c r="Q602" s="26"/>
    </row>
    <row r="603" ht="15.75" hidden="1" customHeight="1">
      <c r="A603" s="31" t="s">
        <v>39</v>
      </c>
      <c r="B603" s="9" t="s">
        <v>1836</v>
      </c>
      <c r="C603" s="19" t="s">
        <v>1575</v>
      </c>
      <c r="D603" s="22" t="s">
        <v>334</v>
      </c>
      <c r="E603" s="19" t="s">
        <v>88</v>
      </c>
      <c r="F603" s="19" t="s">
        <v>55</v>
      </c>
      <c r="G603" s="19" t="s">
        <v>135</v>
      </c>
      <c r="H603" s="22" t="s">
        <v>365</v>
      </c>
      <c r="I603" s="25" t="s">
        <v>1945</v>
      </c>
      <c r="J603" s="19" t="s">
        <v>936</v>
      </c>
      <c r="K603" s="19" t="s">
        <v>40</v>
      </c>
      <c r="L603" s="22" t="s">
        <v>1946</v>
      </c>
      <c r="M603" s="26"/>
      <c r="N603" s="26"/>
      <c r="O603" s="26"/>
      <c r="P603" s="26"/>
      <c r="Q603" s="26"/>
    </row>
    <row r="604" ht="15.75" hidden="1" customHeight="1">
      <c r="A604" s="31" t="s">
        <v>39</v>
      </c>
      <c r="B604" s="9" t="s">
        <v>1836</v>
      </c>
      <c r="C604" s="19" t="s">
        <v>1575</v>
      </c>
      <c r="D604" s="22" t="s">
        <v>1947</v>
      </c>
      <c r="E604" s="19" t="s">
        <v>88</v>
      </c>
      <c r="F604" s="19" t="s">
        <v>55</v>
      </c>
      <c r="G604" s="19" t="s">
        <v>135</v>
      </c>
      <c r="H604" s="22" t="s">
        <v>365</v>
      </c>
      <c r="I604" s="25" t="s">
        <v>1948</v>
      </c>
      <c r="J604" s="19" t="s">
        <v>936</v>
      </c>
      <c r="K604" s="19" t="s">
        <v>40</v>
      </c>
      <c r="L604" s="22" t="s">
        <v>1949</v>
      </c>
      <c r="M604" s="26"/>
      <c r="N604" s="26"/>
      <c r="O604" s="26"/>
      <c r="P604" s="26"/>
      <c r="Q604" s="26"/>
    </row>
    <row r="605" ht="15.75" hidden="1" customHeight="1">
      <c r="A605" s="31" t="s">
        <v>39</v>
      </c>
      <c r="B605" s="9" t="s">
        <v>1836</v>
      </c>
      <c r="C605" s="19" t="s">
        <v>1575</v>
      </c>
      <c r="D605" s="22" t="s">
        <v>1950</v>
      </c>
      <c r="E605" s="19" t="s">
        <v>88</v>
      </c>
      <c r="F605" s="19" t="s">
        <v>55</v>
      </c>
      <c r="G605" s="19" t="s">
        <v>135</v>
      </c>
      <c r="H605" s="22" t="s">
        <v>365</v>
      </c>
      <c r="I605" s="25" t="s">
        <v>1951</v>
      </c>
      <c r="J605" s="19" t="s">
        <v>936</v>
      </c>
      <c r="K605" s="19" t="s">
        <v>40</v>
      </c>
      <c r="L605" s="22" t="s">
        <v>1952</v>
      </c>
      <c r="M605" s="26"/>
      <c r="N605" s="26"/>
      <c r="O605" s="26"/>
      <c r="P605" s="26"/>
      <c r="Q605" s="26"/>
    </row>
    <row r="606" ht="15.75" hidden="1" customHeight="1">
      <c r="A606" s="31" t="s">
        <v>39</v>
      </c>
      <c r="B606" s="9" t="s">
        <v>1836</v>
      </c>
      <c r="C606" s="19" t="s">
        <v>845</v>
      </c>
      <c r="D606" s="22" t="s">
        <v>1953</v>
      </c>
      <c r="E606" s="19" t="s">
        <v>88</v>
      </c>
      <c r="F606" s="19" t="s">
        <v>55</v>
      </c>
      <c r="G606" s="19" t="s">
        <v>135</v>
      </c>
      <c r="H606" s="22" t="s">
        <v>365</v>
      </c>
      <c r="I606" s="25" t="s">
        <v>1954</v>
      </c>
      <c r="J606" s="19"/>
      <c r="K606" s="19" t="s">
        <v>40</v>
      </c>
      <c r="L606" s="22" t="s">
        <v>1591</v>
      </c>
      <c r="M606" s="26"/>
      <c r="N606" s="26"/>
      <c r="O606" s="26"/>
      <c r="P606" s="26"/>
      <c r="Q606" s="26"/>
    </row>
    <row r="607" ht="15.75" hidden="1" customHeight="1">
      <c r="A607" s="31" t="s">
        <v>39</v>
      </c>
      <c r="B607" s="9" t="s">
        <v>1836</v>
      </c>
      <c r="C607" s="19" t="s">
        <v>845</v>
      </c>
      <c r="D607" s="22" t="s">
        <v>1955</v>
      </c>
      <c r="E607" s="19" t="s">
        <v>88</v>
      </c>
      <c r="F607" s="19" t="s">
        <v>55</v>
      </c>
      <c r="G607" s="19" t="s">
        <v>135</v>
      </c>
      <c r="H607" s="22" t="s">
        <v>365</v>
      </c>
      <c r="I607" s="25" t="s">
        <v>1956</v>
      </c>
      <c r="J607" s="19"/>
      <c r="K607" s="19" t="s">
        <v>40</v>
      </c>
      <c r="L607" s="22" t="s">
        <v>1957</v>
      </c>
      <c r="M607" s="26"/>
      <c r="N607" s="26"/>
      <c r="O607" s="26"/>
      <c r="P607" s="26"/>
      <c r="Q607" s="26"/>
    </row>
    <row r="608" ht="15.75" hidden="1" customHeight="1">
      <c r="A608" s="31" t="s">
        <v>39</v>
      </c>
      <c r="B608" s="9" t="s">
        <v>1836</v>
      </c>
      <c r="C608" s="19" t="s">
        <v>845</v>
      </c>
      <c r="D608" s="22" t="s">
        <v>1958</v>
      </c>
      <c r="E608" s="19" t="s">
        <v>88</v>
      </c>
      <c r="F608" s="19" t="s">
        <v>55</v>
      </c>
      <c r="G608" s="19" t="s">
        <v>135</v>
      </c>
      <c r="H608" s="22" t="s">
        <v>365</v>
      </c>
      <c r="I608" s="25" t="s">
        <v>1959</v>
      </c>
      <c r="J608" s="19"/>
      <c r="K608" s="19" t="s">
        <v>40</v>
      </c>
      <c r="L608" s="22" t="s">
        <v>1960</v>
      </c>
      <c r="M608" s="26"/>
      <c r="N608" s="26"/>
      <c r="O608" s="26"/>
      <c r="P608" s="26"/>
      <c r="Q608" s="26"/>
    </row>
    <row r="609" ht="15.75" hidden="1" customHeight="1">
      <c r="A609" s="31" t="s">
        <v>39</v>
      </c>
      <c r="B609" s="9" t="s">
        <v>1836</v>
      </c>
      <c r="C609" s="19" t="s">
        <v>1597</v>
      </c>
      <c r="D609" s="22" t="s">
        <v>1961</v>
      </c>
      <c r="E609" s="19" t="s">
        <v>88</v>
      </c>
      <c r="F609" s="19" t="s">
        <v>1033</v>
      </c>
      <c r="G609" s="19" t="s">
        <v>135</v>
      </c>
      <c r="H609" s="22" t="s">
        <v>365</v>
      </c>
      <c r="I609" s="25" t="s">
        <v>1962</v>
      </c>
      <c r="J609" s="19"/>
      <c r="K609" s="19" t="s">
        <v>40</v>
      </c>
      <c r="L609" s="22" t="s">
        <v>1963</v>
      </c>
      <c r="M609" s="26"/>
      <c r="N609" s="26"/>
      <c r="O609" s="26"/>
      <c r="P609" s="26"/>
      <c r="Q609" s="26"/>
    </row>
    <row r="610" ht="15.75" hidden="1" customHeight="1">
      <c r="A610" s="31" t="s">
        <v>39</v>
      </c>
      <c r="B610" s="9" t="s">
        <v>1836</v>
      </c>
      <c r="C610" s="19" t="s">
        <v>1964</v>
      </c>
      <c r="D610" s="22" t="s">
        <v>1965</v>
      </c>
      <c r="E610" s="19" t="s">
        <v>88</v>
      </c>
      <c r="F610" s="19" t="s">
        <v>508</v>
      </c>
      <c r="G610" s="19" t="s">
        <v>142</v>
      </c>
      <c r="H610" s="22" t="s">
        <v>365</v>
      </c>
      <c r="I610" s="25" t="s">
        <v>1966</v>
      </c>
      <c r="J610" s="19" t="s">
        <v>782</v>
      </c>
      <c r="K610" s="19" t="s">
        <v>145</v>
      </c>
      <c r="L610" s="22" t="s">
        <v>1967</v>
      </c>
      <c r="M610" s="26"/>
      <c r="N610" s="26"/>
      <c r="O610" s="26"/>
      <c r="P610" s="26"/>
      <c r="Q610" s="26"/>
    </row>
    <row r="611" ht="15.75" hidden="1" customHeight="1">
      <c r="A611" s="31" t="s">
        <v>39</v>
      </c>
      <c r="B611" s="9" t="s">
        <v>1836</v>
      </c>
      <c r="C611" s="19" t="s">
        <v>1968</v>
      </c>
      <c r="D611" s="22" t="s">
        <v>1969</v>
      </c>
      <c r="E611" s="19" t="s">
        <v>88</v>
      </c>
      <c r="F611" s="19" t="s">
        <v>1970</v>
      </c>
      <c r="G611" s="19" t="s">
        <v>135</v>
      </c>
      <c r="H611" s="22" t="s">
        <v>365</v>
      </c>
      <c r="I611" s="25" t="s">
        <v>1971</v>
      </c>
      <c r="J611" s="19"/>
      <c r="K611" s="19" t="s">
        <v>13</v>
      </c>
      <c r="L611" s="22" t="s">
        <v>1972</v>
      </c>
      <c r="M611" s="26"/>
      <c r="N611" s="26"/>
      <c r="O611" s="26"/>
      <c r="P611" s="26"/>
      <c r="Q611" s="26"/>
    </row>
    <row r="612" ht="15.75" hidden="1" customHeight="1">
      <c r="A612" s="31" t="s">
        <v>39</v>
      </c>
      <c r="B612" s="9" t="s">
        <v>1836</v>
      </c>
      <c r="C612" s="19" t="s">
        <v>808</v>
      </c>
      <c r="D612" s="22" t="s">
        <v>1973</v>
      </c>
      <c r="E612" s="19" t="s">
        <v>88</v>
      </c>
      <c r="F612" s="19" t="s">
        <v>1293</v>
      </c>
      <c r="G612" s="19" t="s">
        <v>135</v>
      </c>
      <c r="H612" s="22" t="s">
        <v>365</v>
      </c>
      <c r="I612" s="25" t="s">
        <v>1974</v>
      </c>
      <c r="J612" s="19"/>
      <c r="K612" s="19" t="s">
        <v>171</v>
      </c>
      <c r="L612" s="22" t="s">
        <v>1975</v>
      </c>
      <c r="M612" s="26"/>
      <c r="N612" s="26"/>
      <c r="O612" s="26"/>
      <c r="P612" s="26"/>
      <c r="Q612" s="26"/>
    </row>
    <row r="613" ht="15.75" hidden="1" customHeight="1">
      <c r="A613" s="31" t="s">
        <v>39</v>
      </c>
      <c r="B613" s="9" t="s">
        <v>1836</v>
      </c>
      <c r="C613" s="19" t="s">
        <v>1976</v>
      </c>
      <c r="D613" s="22" t="s">
        <v>1977</v>
      </c>
      <c r="E613" s="19" t="s">
        <v>54</v>
      </c>
      <c r="F613" s="19" t="s">
        <v>295</v>
      </c>
      <c r="G613" s="19" t="s">
        <v>135</v>
      </c>
      <c r="H613" s="22" t="s">
        <v>155</v>
      </c>
      <c r="I613" s="25" t="s">
        <v>1978</v>
      </c>
      <c r="J613" s="19"/>
      <c r="K613" s="19" t="s">
        <v>74</v>
      </c>
      <c r="L613" s="22" t="s">
        <v>723</v>
      </c>
      <c r="M613" s="26"/>
      <c r="N613" s="26"/>
      <c r="O613" s="26"/>
      <c r="P613" s="26"/>
      <c r="Q613" s="26"/>
    </row>
    <row r="614" ht="15.75" hidden="1" customHeight="1">
      <c r="A614" s="31" t="s">
        <v>39</v>
      </c>
      <c r="B614" s="9" t="s">
        <v>1836</v>
      </c>
      <c r="C614" s="19" t="s">
        <v>1979</v>
      </c>
      <c r="D614" s="22" t="s">
        <v>1980</v>
      </c>
      <c r="E614" s="19" t="s">
        <v>54</v>
      </c>
      <c r="F614" s="19" t="s">
        <v>295</v>
      </c>
      <c r="G614" s="19" t="s">
        <v>135</v>
      </c>
      <c r="H614" s="22" t="s">
        <v>155</v>
      </c>
      <c r="I614" s="25" t="s">
        <v>1981</v>
      </c>
      <c r="J614" s="19"/>
      <c r="K614" s="19" t="s">
        <v>13</v>
      </c>
      <c r="L614" s="22" t="s">
        <v>890</v>
      </c>
      <c r="M614" s="26"/>
      <c r="N614" s="26"/>
      <c r="O614" s="26"/>
      <c r="P614" s="26"/>
      <c r="Q614" s="26"/>
    </row>
    <row r="615" ht="15.75" hidden="1" customHeight="1">
      <c r="A615" s="31" t="s">
        <v>39</v>
      </c>
      <c r="B615" s="9" t="s">
        <v>1836</v>
      </c>
      <c r="C615" s="19" t="s">
        <v>1982</v>
      </c>
      <c r="D615" s="22" t="s">
        <v>1983</v>
      </c>
      <c r="E615" s="19" t="s">
        <v>54</v>
      </c>
      <c r="F615" s="19" t="s">
        <v>295</v>
      </c>
      <c r="G615" s="19" t="s">
        <v>135</v>
      </c>
      <c r="H615" s="22" t="s">
        <v>155</v>
      </c>
      <c r="I615" s="25" t="s">
        <v>1984</v>
      </c>
      <c r="J615" s="19"/>
      <c r="K615" s="19" t="s">
        <v>13</v>
      </c>
      <c r="L615" s="22" t="s">
        <v>1985</v>
      </c>
      <c r="M615" s="26"/>
      <c r="N615" s="26"/>
      <c r="O615" s="26"/>
      <c r="P615" s="26"/>
      <c r="Q615" s="26"/>
    </row>
    <row r="616" ht="15.75" hidden="1" customHeight="1">
      <c r="A616" s="31" t="s">
        <v>39</v>
      </c>
      <c r="B616" s="9" t="s">
        <v>1836</v>
      </c>
      <c r="C616" s="19" t="s">
        <v>637</v>
      </c>
      <c r="D616" s="22" t="s">
        <v>1986</v>
      </c>
      <c r="E616" s="19" t="s">
        <v>109</v>
      </c>
      <c r="F616" s="19" t="s">
        <v>186</v>
      </c>
      <c r="G616" s="19" t="s">
        <v>57</v>
      </c>
      <c r="H616" s="22" t="s">
        <v>365</v>
      </c>
      <c r="I616" s="25" t="s">
        <v>1987</v>
      </c>
      <c r="J616" s="19"/>
      <c r="K616" s="19" t="s">
        <v>221</v>
      </c>
      <c r="L616" s="22" t="s">
        <v>1731</v>
      </c>
      <c r="M616" s="26"/>
      <c r="N616" s="26"/>
      <c r="O616" s="26"/>
      <c r="P616" s="26"/>
      <c r="Q616" s="26"/>
    </row>
    <row r="617" ht="15.75" hidden="1" customHeight="1">
      <c r="A617" s="31" t="s">
        <v>39</v>
      </c>
      <c r="B617" s="9" t="s">
        <v>1836</v>
      </c>
      <c r="C617" s="19" t="s">
        <v>1988</v>
      </c>
      <c r="D617" s="22" t="s">
        <v>1989</v>
      </c>
      <c r="E617" s="19" t="s">
        <v>88</v>
      </c>
      <c r="F617" s="19" t="s">
        <v>1167</v>
      </c>
      <c r="G617" s="19" t="s">
        <v>135</v>
      </c>
      <c r="H617" s="22" t="s">
        <v>365</v>
      </c>
      <c r="I617" s="25" t="s">
        <v>1990</v>
      </c>
      <c r="J617" s="19" t="s">
        <v>490</v>
      </c>
      <c r="K617" s="19" t="s">
        <v>40</v>
      </c>
      <c r="L617" s="22" t="s">
        <v>1991</v>
      </c>
      <c r="M617" s="26"/>
      <c r="N617" s="26"/>
      <c r="O617" s="26"/>
      <c r="P617" s="26"/>
      <c r="Q617" s="26"/>
    </row>
    <row r="618" ht="15.75" hidden="1" customHeight="1">
      <c r="A618" s="31" t="s">
        <v>39</v>
      </c>
      <c r="B618" s="9" t="s">
        <v>1836</v>
      </c>
      <c r="C618" s="19" t="s">
        <v>1992</v>
      </c>
      <c r="D618" s="22" t="s">
        <v>1993</v>
      </c>
      <c r="E618" s="19" t="s">
        <v>88</v>
      </c>
      <c r="F618" s="19" t="s">
        <v>55</v>
      </c>
      <c r="G618" s="19" t="s">
        <v>135</v>
      </c>
      <c r="H618" s="22" t="s">
        <v>365</v>
      </c>
      <c r="I618" s="25" t="s">
        <v>1994</v>
      </c>
      <c r="J618" s="19"/>
      <c r="K618" s="19" t="s">
        <v>40</v>
      </c>
      <c r="L618" s="22" t="s">
        <v>1963</v>
      </c>
      <c r="M618" s="26"/>
      <c r="N618" s="26"/>
      <c r="O618" s="26"/>
      <c r="P618" s="26"/>
      <c r="Q618" s="26"/>
    </row>
    <row r="619" ht="15.75" hidden="1" customHeight="1">
      <c r="A619" s="31" t="s">
        <v>39</v>
      </c>
      <c r="B619" s="9" t="s">
        <v>1836</v>
      </c>
      <c r="C619" s="19" t="s">
        <v>1995</v>
      </c>
      <c r="D619" s="22" t="s">
        <v>1996</v>
      </c>
      <c r="E619" s="19" t="s">
        <v>54</v>
      </c>
      <c r="F619" s="19" t="s">
        <v>295</v>
      </c>
      <c r="G619" s="19" t="s">
        <v>135</v>
      </c>
      <c r="H619" s="22" t="s">
        <v>155</v>
      </c>
      <c r="I619" s="25" t="s">
        <v>1997</v>
      </c>
      <c r="J619" s="19" t="s">
        <v>490</v>
      </c>
      <c r="K619" s="19" t="s">
        <v>78</v>
      </c>
      <c r="L619" s="22" t="s">
        <v>723</v>
      </c>
      <c r="M619" s="26"/>
      <c r="N619" s="26"/>
      <c r="O619" s="26"/>
      <c r="P619" s="26"/>
      <c r="Q619" s="26"/>
    </row>
    <row r="620" ht="15.75" customHeight="1">
      <c r="A620" s="31" t="s">
        <v>39</v>
      </c>
      <c r="B620" s="9" t="s">
        <v>1998</v>
      </c>
      <c r="C620" s="19" t="s">
        <v>1999</v>
      </c>
      <c r="D620" s="22" t="s">
        <v>2000</v>
      </c>
      <c r="E620" s="19" t="s">
        <v>109</v>
      </c>
      <c r="F620" s="19" t="s">
        <v>2001</v>
      </c>
      <c r="G620" s="19" t="s">
        <v>90</v>
      </c>
      <c r="H620" s="24" t="s">
        <v>59</v>
      </c>
      <c r="I620" s="25" t="s">
        <v>2002</v>
      </c>
      <c r="J620" s="19" t="s">
        <v>319</v>
      </c>
      <c r="K620" s="19" t="s">
        <v>175</v>
      </c>
      <c r="L620" s="22" t="s">
        <v>2003</v>
      </c>
      <c r="M620" s="26"/>
      <c r="N620" s="26"/>
      <c r="O620" s="26"/>
      <c r="P620" s="26"/>
      <c r="Q620" s="26"/>
    </row>
    <row r="621" ht="15.75" customHeight="1">
      <c r="A621" s="31" t="s">
        <v>39</v>
      </c>
      <c r="B621" s="9" t="s">
        <v>1998</v>
      </c>
      <c r="C621" s="19" t="s">
        <v>1048</v>
      </c>
      <c r="D621" s="22" t="s">
        <v>2004</v>
      </c>
      <c r="E621" s="19" t="s">
        <v>109</v>
      </c>
      <c r="F621" s="19" t="s">
        <v>868</v>
      </c>
      <c r="G621" s="19" t="s">
        <v>90</v>
      </c>
      <c r="H621" s="24" t="s">
        <v>59</v>
      </c>
      <c r="I621" s="25" t="s">
        <v>2005</v>
      </c>
      <c r="J621" s="19" t="s">
        <v>337</v>
      </c>
      <c r="K621" s="19" t="s">
        <v>175</v>
      </c>
      <c r="L621" s="22"/>
      <c r="M621" s="26"/>
      <c r="N621" s="26"/>
      <c r="O621" s="26"/>
      <c r="P621" s="26"/>
      <c r="Q621" s="26"/>
    </row>
    <row r="622" ht="15.75" customHeight="1">
      <c r="A622" s="31" t="s">
        <v>39</v>
      </c>
      <c r="B622" s="9" t="s">
        <v>1998</v>
      </c>
      <c r="C622" s="19" t="s">
        <v>1048</v>
      </c>
      <c r="D622" s="22" t="s">
        <v>2006</v>
      </c>
      <c r="E622" s="19" t="s">
        <v>109</v>
      </c>
      <c r="F622" s="19" t="s">
        <v>868</v>
      </c>
      <c r="G622" s="19" t="s">
        <v>90</v>
      </c>
      <c r="H622" s="24" t="s">
        <v>59</v>
      </c>
      <c r="I622" s="25" t="s">
        <v>2007</v>
      </c>
      <c r="J622" s="19"/>
      <c r="K622" s="19" t="s">
        <v>125</v>
      </c>
      <c r="L622" s="22"/>
      <c r="M622" s="26"/>
      <c r="N622" s="26"/>
      <c r="O622" s="26"/>
      <c r="P622" s="26"/>
      <c r="Q622" s="26"/>
    </row>
    <row r="623" ht="15.75" customHeight="1">
      <c r="A623" s="31" t="s">
        <v>39</v>
      </c>
      <c r="B623" s="9" t="s">
        <v>1998</v>
      </c>
      <c r="C623" s="19" t="s">
        <v>1048</v>
      </c>
      <c r="D623" s="22" t="s">
        <v>2008</v>
      </c>
      <c r="E623" s="19" t="s">
        <v>109</v>
      </c>
      <c r="F623" s="19" t="s">
        <v>868</v>
      </c>
      <c r="G623" s="19" t="s">
        <v>90</v>
      </c>
      <c r="H623" s="24" t="s">
        <v>59</v>
      </c>
      <c r="I623" s="25" t="s">
        <v>2009</v>
      </c>
      <c r="J623" s="19"/>
      <c r="K623" s="19" t="s">
        <v>112</v>
      </c>
      <c r="L623" s="22"/>
      <c r="M623" s="26"/>
      <c r="N623" s="26"/>
      <c r="O623" s="26"/>
      <c r="P623" s="26"/>
      <c r="Q623" s="26"/>
    </row>
    <row r="624" ht="15.75" customHeight="1">
      <c r="A624" s="31" t="s">
        <v>39</v>
      </c>
      <c r="B624" s="9" t="s">
        <v>1998</v>
      </c>
      <c r="C624" s="19" t="s">
        <v>1048</v>
      </c>
      <c r="D624" s="22" t="s">
        <v>2010</v>
      </c>
      <c r="E624" s="19" t="s">
        <v>109</v>
      </c>
      <c r="F624" s="19" t="s">
        <v>868</v>
      </c>
      <c r="G624" s="19" t="s">
        <v>90</v>
      </c>
      <c r="H624" s="24" t="s">
        <v>59</v>
      </c>
      <c r="I624" s="25" t="s">
        <v>2011</v>
      </c>
      <c r="J624" s="19" t="s">
        <v>337</v>
      </c>
      <c r="K624" s="19" t="s">
        <v>92</v>
      </c>
      <c r="L624" s="22"/>
      <c r="M624" s="26"/>
      <c r="N624" s="26"/>
      <c r="O624" s="26"/>
      <c r="P624" s="26"/>
      <c r="Q624" s="26"/>
    </row>
    <row r="625" ht="15.75" customHeight="1">
      <c r="A625" s="31" t="s">
        <v>39</v>
      </c>
      <c r="B625" s="9" t="s">
        <v>1998</v>
      </c>
      <c r="C625" s="19" t="s">
        <v>1855</v>
      </c>
      <c r="D625" s="22" t="s">
        <v>2012</v>
      </c>
      <c r="E625" s="19" t="s">
        <v>109</v>
      </c>
      <c r="F625" s="19" t="s">
        <v>2013</v>
      </c>
      <c r="G625" s="19" t="s">
        <v>90</v>
      </c>
      <c r="H625" s="24" t="s">
        <v>59</v>
      </c>
      <c r="I625" s="25" t="s">
        <v>2014</v>
      </c>
      <c r="J625" s="19"/>
      <c r="K625" s="19" t="s">
        <v>112</v>
      </c>
      <c r="L625" s="22"/>
      <c r="M625" s="26"/>
      <c r="N625" s="26"/>
      <c r="O625" s="26"/>
      <c r="P625" s="26"/>
      <c r="Q625" s="26"/>
    </row>
    <row r="626" ht="15.75" customHeight="1">
      <c r="A626" s="31" t="s">
        <v>39</v>
      </c>
      <c r="B626" s="9" t="s">
        <v>1998</v>
      </c>
      <c r="C626" s="19" t="s">
        <v>1855</v>
      </c>
      <c r="D626" s="22" t="s">
        <v>2015</v>
      </c>
      <c r="E626" s="19" t="s">
        <v>109</v>
      </c>
      <c r="F626" s="19" t="s">
        <v>2016</v>
      </c>
      <c r="G626" s="19" t="s">
        <v>90</v>
      </c>
      <c r="H626" s="24" t="s">
        <v>59</v>
      </c>
      <c r="I626" s="25" t="s">
        <v>1858</v>
      </c>
      <c r="J626" s="19" t="s">
        <v>95</v>
      </c>
      <c r="K626" s="19" t="s">
        <v>114</v>
      </c>
      <c r="L626" s="22"/>
      <c r="M626" s="26"/>
      <c r="N626" s="26"/>
      <c r="O626" s="26"/>
      <c r="P626" s="26"/>
      <c r="Q626" s="26"/>
    </row>
    <row r="627" ht="15.75" customHeight="1">
      <c r="A627" s="31" t="s">
        <v>39</v>
      </c>
      <c r="B627" s="9" t="s">
        <v>1998</v>
      </c>
      <c r="C627" s="19" t="s">
        <v>1402</v>
      </c>
      <c r="D627" s="22" t="s">
        <v>2017</v>
      </c>
      <c r="E627" s="19" t="s">
        <v>109</v>
      </c>
      <c r="F627" s="19" t="s">
        <v>2018</v>
      </c>
      <c r="G627" s="19" t="s">
        <v>90</v>
      </c>
      <c r="H627" s="24" t="s">
        <v>59</v>
      </c>
      <c r="I627" s="25" t="s">
        <v>2019</v>
      </c>
      <c r="J627" s="19"/>
      <c r="K627" s="19" t="s">
        <v>74</v>
      </c>
      <c r="L627" s="22"/>
      <c r="M627" s="26"/>
      <c r="N627" s="26"/>
      <c r="O627" s="26"/>
      <c r="P627" s="26"/>
      <c r="Q627" s="26"/>
    </row>
    <row r="628" ht="15.75" customHeight="1">
      <c r="A628" s="31" t="s">
        <v>39</v>
      </c>
      <c r="B628" s="9" t="s">
        <v>1998</v>
      </c>
      <c r="C628" s="19" t="s">
        <v>2020</v>
      </c>
      <c r="D628" s="22" t="s">
        <v>1350</v>
      </c>
      <c r="E628" s="19" t="s">
        <v>109</v>
      </c>
      <c r="F628" s="19" t="s">
        <v>2021</v>
      </c>
      <c r="G628" s="19" t="s">
        <v>90</v>
      </c>
      <c r="H628" s="24" t="s">
        <v>59</v>
      </c>
      <c r="I628" s="25" t="s">
        <v>2022</v>
      </c>
      <c r="J628" s="19"/>
      <c r="K628" s="19" t="s">
        <v>100</v>
      </c>
      <c r="L628" s="22" t="s">
        <v>2023</v>
      </c>
      <c r="M628" s="26"/>
      <c r="N628" s="26"/>
      <c r="O628" s="26"/>
      <c r="P628" s="26"/>
      <c r="Q628" s="26"/>
    </row>
    <row r="629" ht="15.75" customHeight="1">
      <c r="A629" s="31" t="s">
        <v>39</v>
      </c>
      <c r="B629" s="9" t="s">
        <v>1998</v>
      </c>
      <c r="C629" s="19" t="s">
        <v>866</v>
      </c>
      <c r="D629" s="22" t="s">
        <v>2024</v>
      </c>
      <c r="E629" s="19" t="s">
        <v>109</v>
      </c>
      <c r="F629" s="19" t="s">
        <v>868</v>
      </c>
      <c r="G629" s="19" t="s">
        <v>90</v>
      </c>
      <c r="H629" s="24" t="s">
        <v>59</v>
      </c>
      <c r="I629" s="25" t="s">
        <v>2025</v>
      </c>
      <c r="J629" s="19" t="s">
        <v>262</v>
      </c>
      <c r="K629" s="19" t="s">
        <v>130</v>
      </c>
      <c r="L629" s="22"/>
      <c r="M629" s="26"/>
      <c r="N629" s="26"/>
      <c r="O629" s="26"/>
      <c r="P629" s="26"/>
      <c r="Q629" s="26"/>
    </row>
    <row r="630" ht="15.75" customHeight="1">
      <c r="A630" s="31" t="s">
        <v>39</v>
      </c>
      <c r="B630" s="9" t="s">
        <v>1998</v>
      </c>
      <c r="C630" s="19" t="s">
        <v>787</v>
      </c>
      <c r="D630" s="22" t="s">
        <v>2026</v>
      </c>
      <c r="E630" s="19" t="s">
        <v>109</v>
      </c>
      <c r="F630" s="19" t="s">
        <v>868</v>
      </c>
      <c r="G630" s="19" t="s">
        <v>90</v>
      </c>
      <c r="H630" s="24" t="s">
        <v>59</v>
      </c>
      <c r="I630" s="25" t="s">
        <v>789</v>
      </c>
      <c r="J630" s="19" t="s">
        <v>95</v>
      </c>
      <c r="K630" s="19" t="s">
        <v>78</v>
      </c>
      <c r="L630" s="22"/>
      <c r="M630" s="26"/>
      <c r="N630" s="26"/>
      <c r="O630" s="26"/>
      <c r="P630" s="26"/>
      <c r="Q630" s="26"/>
    </row>
    <row r="631" ht="15.75" customHeight="1">
      <c r="A631" s="31" t="s">
        <v>39</v>
      </c>
      <c r="B631" s="9" t="s">
        <v>1998</v>
      </c>
      <c r="C631" s="19" t="s">
        <v>787</v>
      </c>
      <c r="D631" s="22" t="s">
        <v>2027</v>
      </c>
      <c r="E631" s="19" t="s">
        <v>109</v>
      </c>
      <c r="F631" s="19" t="s">
        <v>2028</v>
      </c>
      <c r="G631" s="19" t="s">
        <v>90</v>
      </c>
      <c r="H631" s="24" t="s">
        <v>59</v>
      </c>
      <c r="I631" s="25" t="s">
        <v>789</v>
      </c>
      <c r="J631" s="19" t="s">
        <v>95</v>
      </c>
      <c r="K631" s="19" t="s">
        <v>52</v>
      </c>
      <c r="L631" s="22"/>
      <c r="M631" s="26"/>
      <c r="N631" s="26"/>
      <c r="O631" s="26"/>
      <c r="P631" s="26"/>
      <c r="Q631" s="26"/>
    </row>
    <row r="632" ht="15.75" customHeight="1">
      <c r="A632" s="31" t="s">
        <v>39</v>
      </c>
      <c r="B632" s="9" t="s">
        <v>1998</v>
      </c>
      <c r="C632" s="19" t="s">
        <v>198</v>
      </c>
      <c r="D632" s="22" t="s">
        <v>2029</v>
      </c>
      <c r="E632" s="19" t="s">
        <v>109</v>
      </c>
      <c r="F632" s="19" t="s">
        <v>868</v>
      </c>
      <c r="G632" s="19" t="s">
        <v>90</v>
      </c>
      <c r="H632" s="24" t="s">
        <v>59</v>
      </c>
      <c r="I632" s="25" t="s">
        <v>2030</v>
      </c>
      <c r="J632" s="19" t="s">
        <v>1722</v>
      </c>
      <c r="K632" s="19" t="s">
        <v>92</v>
      </c>
      <c r="L632" s="22"/>
      <c r="M632" s="26"/>
      <c r="N632" s="26"/>
      <c r="O632" s="26"/>
      <c r="P632" s="26"/>
      <c r="Q632" s="26"/>
    </row>
    <row r="633" ht="15.75" customHeight="1">
      <c r="A633" s="31" t="s">
        <v>39</v>
      </c>
      <c r="B633" s="9" t="s">
        <v>1998</v>
      </c>
      <c r="C633" s="19" t="s">
        <v>198</v>
      </c>
      <c r="D633" s="22" t="s">
        <v>656</v>
      </c>
      <c r="E633" s="19" t="s">
        <v>109</v>
      </c>
      <c r="F633" s="19" t="s">
        <v>868</v>
      </c>
      <c r="G633" s="19" t="s">
        <v>90</v>
      </c>
      <c r="H633" s="24" t="s">
        <v>59</v>
      </c>
      <c r="I633" s="25" t="s">
        <v>2031</v>
      </c>
      <c r="J633" s="19" t="s">
        <v>1722</v>
      </c>
      <c r="K633" s="19" t="s">
        <v>92</v>
      </c>
      <c r="L633" s="22"/>
      <c r="M633" s="26"/>
      <c r="N633" s="26"/>
      <c r="O633" s="26"/>
      <c r="P633" s="26"/>
      <c r="Q633" s="26"/>
    </row>
    <row r="634" ht="15.75" customHeight="1">
      <c r="A634" s="31" t="s">
        <v>39</v>
      </c>
      <c r="B634" s="9" t="s">
        <v>1998</v>
      </c>
      <c r="C634" s="19" t="s">
        <v>2032</v>
      </c>
      <c r="D634" s="22" t="s">
        <v>2033</v>
      </c>
      <c r="E634" s="19" t="s">
        <v>109</v>
      </c>
      <c r="F634" s="19" t="s">
        <v>2034</v>
      </c>
      <c r="G634" s="19" t="s">
        <v>90</v>
      </c>
      <c r="H634" s="24" t="s">
        <v>59</v>
      </c>
      <c r="I634" s="25" t="s">
        <v>2035</v>
      </c>
      <c r="J634" s="19"/>
      <c r="K634" s="19" t="s">
        <v>13</v>
      </c>
      <c r="L634" s="22" t="s">
        <v>2036</v>
      </c>
      <c r="M634" s="26"/>
      <c r="N634" s="26"/>
      <c r="O634" s="26"/>
      <c r="P634" s="26"/>
      <c r="Q634" s="26"/>
    </row>
    <row r="635" ht="15.75" customHeight="1">
      <c r="A635" s="31" t="s">
        <v>39</v>
      </c>
      <c r="B635" s="9" t="s">
        <v>1998</v>
      </c>
      <c r="C635" s="19" t="s">
        <v>2032</v>
      </c>
      <c r="D635" s="22" t="s">
        <v>656</v>
      </c>
      <c r="E635" s="19" t="s">
        <v>109</v>
      </c>
      <c r="F635" s="19" t="s">
        <v>2037</v>
      </c>
      <c r="G635" s="19" t="s">
        <v>90</v>
      </c>
      <c r="H635" s="24" t="s">
        <v>59</v>
      </c>
      <c r="I635" s="25" t="s">
        <v>2038</v>
      </c>
      <c r="J635" s="19" t="s">
        <v>1240</v>
      </c>
      <c r="K635" s="19" t="s">
        <v>114</v>
      </c>
      <c r="L635" s="22"/>
      <c r="M635" s="26"/>
      <c r="N635" s="26"/>
      <c r="O635" s="26"/>
      <c r="P635" s="26"/>
      <c r="Q635" s="26"/>
    </row>
    <row r="636" ht="15.75" customHeight="1">
      <c r="A636" s="31" t="s">
        <v>39</v>
      </c>
      <c r="B636" s="9" t="s">
        <v>1998</v>
      </c>
      <c r="C636" s="19" t="s">
        <v>2032</v>
      </c>
      <c r="D636" s="22" t="s">
        <v>1362</v>
      </c>
      <c r="E636" s="19" t="s">
        <v>109</v>
      </c>
      <c r="F636" s="19" t="s">
        <v>2039</v>
      </c>
      <c r="G636" s="19" t="s">
        <v>90</v>
      </c>
      <c r="H636" s="24" t="s">
        <v>59</v>
      </c>
      <c r="I636" s="25" t="s">
        <v>2040</v>
      </c>
      <c r="J636" s="19"/>
      <c r="K636" s="19" t="s">
        <v>137</v>
      </c>
      <c r="L636" s="22" t="s">
        <v>2041</v>
      </c>
      <c r="M636" s="26"/>
      <c r="N636" s="26"/>
      <c r="O636" s="26"/>
      <c r="P636" s="26"/>
      <c r="Q636" s="26"/>
    </row>
    <row r="637" ht="15.75" customHeight="1">
      <c r="A637" s="31" t="s">
        <v>39</v>
      </c>
      <c r="B637" s="9" t="s">
        <v>1998</v>
      </c>
      <c r="C637" s="19" t="s">
        <v>2032</v>
      </c>
      <c r="D637" s="22" t="s">
        <v>1209</v>
      </c>
      <c r="E637" s="19" t="s">
        <v>109</v>
      </c>
      <c r="F637" s="19" t="s">
        <v>2034</v>
      </c>
      <c r="G637" s="19" t="s">
        <v>90</v>
      </c>
      <c r="H637" s="24" t="s">
        <v>59</v>
      </c>
      <c r="I637" s="25" t="s">
        <v>2035</v>
      </c>
      <c r="J637" s="19"/>
      <c r="K637" s="19" t="s">
        <v>117</v>
      </c>
      <c r="L637" s="22" t="s">
        <v>2042</v>
      </c>
      <c r="M637" s="26"/>
      <c r="N637" s="26"/>
      <c r="O637" s="26"/>
      <c r="P637" s="26"/>
      <c r="Q637" s="26"/>
    </row>
    <row r="638" ht="15.75" customHeight="1">
      <c r="A638" s="31" t="s">
        <v>39</v>
      </c>
      <c r="B638" s="9" t="s">
        <v>1998</v>
      </c>
      <c r="C638" s="19" t="s">
        <v>191</v>
      </c>
      <c r="D638" s="22" t="s">
        <v>2043</v>
      </c>
      <c r="E638" s="19" t="s">
        <v>109</v>
      </c>
      <c r="F638" s="19" t="s">
        <v>868</v>
      </c>
      <c r="G638" s="19" t="s">
        <v>90</v>
      </c>
      <c r="H638" s="24" t="s">
        <v>59</v>
      </c>
      <c r="I638" s="25" t="s">
        <v>2044</v>
      </c>
      <c r="J638" s="19" t="s">
        <v>1066</v>
      </c>
      <c r="K638" s="19" t="s">
        <v>237</v>
      </c>
      <c r="L638" s="22" t="s">
        <v>1067</v>
      </c>
      <c r="M638" s="26"/>
      <c r="N638" s="26"/>
      <c r="O638" s="26"/>
      <c r="P638" s="26"/>
      <c r="Q638" s="26"/>
    </row>
    <row r="639" ht="15.75" customHeight="1">
      <c r="A639" s="31" t="s">
        <v>39</v>
      </c>
      <c r="B639" s="9" t="s">
        <v>1998</v>
      </c>
      <c r="C639" s="19" t="s">
        <v>191</v>
      </c>
      <c r="D639" s="22" t="s">
        <v>656</v>
      </c>
      <c r="E639" s="19" t="s">
        <v>109</v>
      </c>
      <c r="F639" s="19" t="s">
        <v>241</v>
      </c>
      <c r="G639" s="19" t="s">
        <v>90</v>
      </c>
      <c r="H639" s="24" t="s">
        <v>59</v>
      </c>
      <c r="I639" s="25" t="s">
        <v>2045</v>
      </c>
      <c r="J639" s="19"/>
      <c r="K639" s="19" t="s">
        <v>114</v>
      </c>
      <c r="L639" s="22"/>
      <c r="M639" s="26"/>
      <c r="N639" s="26"/>
      <c r="O639" s="26"/>
      <c r="P639" s="26"/>
      <c r="Q639" s="26"/>
    </row>
    <row r="640" ht="15.75" customHeight="1">
      <c r="A640" s="31" t="s">
        <v>39</v>
      </c>
      <c r="B640" s="9" t="s">
        <v>1998</v>
      </c>
      <c r="C640" s="19" t="s">
        <v>191</v>
      </c>
      <c r="D640" s="22" t="s">
        <v>2046</v>
      </c>
      <c r="E640" s="19" t="s">
        <v>109</v>
      </c>
      <c r="F640" s="19" t="s">
        <v>868</v>
      </c>
      <c r="G640" s="19" t="s">
        <v>90</v>
      </c>
      <c r="H640" s="24" t="s">
        <v>59</v>
      </c>
      <c r="I640" s="25" t="s">
        <v>2047</v>
      </c>
      <c r="J640" s="19" t="s">
        <v>95</v>
      </c>
      <c r="K640" s="19" t="s">
        <v>94</v>
      </c>
      <c r="L640" s="22" t="s">
        <v>2048</v>
      </c>
      <c r="M640" s="26"/>
      <c r="N640" s="26"/>
      <c r="O640" s="26"/>
      <c r="P640" s="26"/>
      <c r="Q640" s="26"/>
    </row>
    <row r="641" ht="15.75" customHeight="1">
      <c r="A641" s="31" t="s">
        <v>39</v>
      </c>
      <c r="B641" s="9" t="s">
        <v>1998</v>
      </c>
      <c r="C641" s="19" t="s">
        <v>2049</v>
      </c>
      <c r="D641" s="22" t="s">
        <v>656</v>
      </c>
      <c r="E641" s="19" t="s">
        <v>109</v>
      </c>
      <c r="F641" s="19" t="s">
        <v>364</v>
      </c>
      <c r="G641" s="19" t="s">
        <v>90</v>
      </c>
      <c r="H641" s="24" t="s">
        <v>59</v>
      </c>
      <c r="I641" s="25" t="s">
        <v>2050</v>
      </c>
      <c r="J641" s="19"/>
      <c r="K641" s="19" t="s">
        <v>215</v>
      </c>
      <c r="L641" s="22" t="s">
        <v>2051</v>
      </c>
      <c r="M641" s="26"/>
      <c r="N641" s="26"/>
      <c r="O641" s="26"/>
      <c r="P641" s="26"/>
      <c r="Q641" s="26"/>
    </row>
    <row r="642" ht="15.75" customHeight="1">
      <c r="A642" s="31" t="s">
        <v>39</v>
      </c>
      <c r="B642" s="9" t="s">
        <v>1998</v>
      </c>
      <c r="C642" s="19" t="s">
        <v>1497</v>
      </c>
      <c r="D642" s="22" t="s">
        <v>2052</v>
      </c>
      <c r="E642" s="19" t="s">
        <v>109</v>
      </c>
      <c r="F642" s="19" t="s">
        <v>521</v>
      </c>
      <c r="G642" s="19" t="s">
        <v>90</v>
      </c>
      <c r="H642" s="24" t="s">
        <v>59</v>
      </c>
      <c r="I642" s="25" t="s">
        <v>2053</v>
      </c>
      <c r="J642" s="19"/>
      <c r="K642" s="19" t="s">
        <v>252</v>
      </c>
      <c r="L642" s="22"/>
      <c r="M642" s="26"/>
      <c r="N642" s="26"/>
      <c r="O642" s="26"/>
      <c r="P642" s="26"/>
      <c r="Q642" s="26"/>
    </row>
    <row r="643" ht="15.75" customHeight="1">
      <c r="A643" s="31" t="s">
        <v>39</v>
      </c>
      <c r="B643" s="9" t="s">
        <v>1998</v>
      </c>
      <c r="C643" s="19" t="s">
        <v>1497</v>
      </c>
      <c r="D643" s="22" t="s">
        <v>2052</v>
      </c>
      <c r="E643" s="19" t="s">
        <v>109</v>
      </c>
      <c r="F643" s="19" t="s">
        <v>631</v>
      </c>
      <c r="G643" s="19" t="s">
        <v>90</v>
      </c>
      <c r="H643" s="24" t="s">
        <v>59</v>
      </c>
      <c r="I643" s="25" t="s">
        <v>1502</v>
      </c>
      <c r="J643" s="19"/>
      <c r="K643" s="19" t="s">
        <v>100</v>
      </c>
      <c r="L643" s="22" t="s">
        <v>2054</v>
      </c>
      <c r="M643" s="26"/>
      <c r="N643" s="26"/>
      <c r="O643" s="26"/>
      <c r="P643" s="26"/>
      <c r="Q643" s="26"/>
    </row>
    <row r="644" ht="15.75" hidden="1" customHeight="1">
      <c r="A644" s="31" t="s">
        <v>39</v>
      </c>
      <c r="B644" s="9" t="s">
        <v>1998</v>
      </c>
      <c r="C644" s="19" t="s">
        <v>358</v>
      </c>
      <c r="D644" s="22" t="s">
        <v>831</v>
      </c>
      <c r="E644" s="19" t="s">
        <v>119</v>
      </c>
      <c r="F644" s="19" t="s">
        <v>488</v>
      </c>
      <c r="G644" s="19" t="s">
        <v>135</v>
      </c>
      <c r="H644" s="24" t="s">
        <v>59</v>
      </c>
      <c r="I644" s="25" t="s">
        <v>2055</v>
      </c>
      <c r="J644" s="19" t="s">
        <v>490</v>
      </c>
      <c r="K644" s="19" t="s">
        <v>78</v>
      </c>
      <c r="L644" s="22" t="s">
        <v>723</v>
      </c>
      <c r="M644" s="26"/>
      <c r="N644" s="26"/>
      <c r="O644" s="26"/>
      <c r="P644" s="26"/>
      <c r="Q644" s="26"/>
    </row>
    <row r="645" ht="15.75" customHeight="1">
      <c r="A645" s="31" t="s">
        <v>39</v>
      </c>
      <c r="B645" s="9" t="s">
        <v>1998</v>
      </c>
      <c r="C645" s="19" t="s">
        <v>2056</v>
      </c>
      <c r="D645" s="22" t="s">
        <v>2057</v>
      </c>
      <c r="E645" s="19" t="s">
        <v>109</v>
      </c>
      <c r="F645" s="19" t="s">
        <v>2058</v>
      </c>
      <c r="G645" s="19" t="s">
        <v>90</v>
      </c>
      <c r="H645" s="24" t="s">
        <v>59</v>
      </c>
      <c r="I645" s="25" t="s">
        <v>2059</v>
      </c>
      <c r="J645" s="19"/>
      <c r="K645" s="19" t="s">
        <v>112</v>
      </c>
      <c r="L645" s="22"/>
      <c r="M645" s="26"/>
      <c r="N645" s="26"/>
      <c r="O645" s="26"/>
      <c r="P645" s="26"/>
      <c r="Q645" s="26"/>
    </row>
    <row r="646" ht="15.75" hidden="1" customHeight="1">
      <c r="A646" s="31" t="s">
        <v>39</v>
      </c>
      <c r="B646" s="9" t="s">
        <v>1998</v>
      </c>
      <c r="C646" s="19" t="s">
        <v>637</v>
      </c>
      <c r="D646" s="22" t="s">
        <v>2060</v>
      </c>
      <c r="E646" s="19" t="s">
        <v>109</v>
      </c>
      <c r="F646" s="19" t="s">
        <v>364</v>
      </c>
      <c r="G646" s="19" t="s">
        <v>142</v>
      </c>
      <c r="H646" s="22" t="s">
        <v>155</v>
      </c>
      <c r="I646" s="25" t="s">
        <v>2061</v>
      </c>
      <c r="J646" s="19" t="s">
        <v>443</v>
      </c>
      <c r="K646" s="19" t="s">
        <v>139</v>
      </c>
      <c r="L646" s="22"/>
      <c r="M646" s="26"/>
      <c r="N646" s="26"/>
      <c r="O646" s="26"/>
      <c r="P646" s="26"/>
      <c r="Q646" s="26"/>
    </row>
    <row r="647" ht="15.75" customHeight="1">
      <c r="A647" s="31" t="s">
        <v>39</v>
      </c>
      <c r="B647" s="9" t="s">
        <v>1998</v>
      </c>
      <c r="C647" s="19" t="s">
        <v>1364</v>
      </c>
      <c r="D647" s="22" t="s">
        <v>2062</v>
      </c>
      <c r="E647" s="19" t="s">
        <v>109</v>
      </c>
      <c r="F647" s="19" t="s">
        <v>241</v>
      </c>
      <c r="G647" s="19" t="s">
        <v>90</v>
      </c>
      <c r="H647" s="24" t="s">
        <v>59</v>
      </c>
      <c r="I647" s="25" t="s">
        <v>2063</v>
      </c>
      <c r="J647" s="19" t="s">
        <v>1445</v>
      </c>
      <c r="K647" s="19" t="s">
        <v>82</v>
      </c>
      <c r="L647" s="22"/>
      <c r="M647" s="26"/>
      <c r="N647" s="26"/>
      <c r="O647" s="26"/>
      <c r="P647" s="26"/>
      <c r="Q647" s="26"/>
    </row>
    <row r="648" ht="15.75" customHeight="1">
      <c r="A648" s="31" t="s">
        <v>39</v>
      </c>
      <c r="B648" s="9" t="s">
        <v>1998</v>
      </c>
      <c r="C648" s="19" t="s">
        <v>1372</v>
      </c>
      <c r="D648" s="22" t="s">
        <v>656</v>
      </c>
      <c r="E648" s="19" t="s">
        <v>109</v>
      </c>
      <c r="F648" s="19" t="s">
        <v>2064</v>
      </c>
      <c r="G648" s="19" t="s">
        <v>90</v>
      </c>
      <c r="H648" s="24" t="s">
        <v>59</v>
      </c>
      <c r="I648" s="25" t="s">
        <v>2065</v>
      </c>
      <c r="J648" s="19" t="s">
        <v>1445</v>
      </c>
      <c r="K648" s="19" t="s">
        <v>114</v>
      </c>
      <c r="L648" s="22"/>
      <c r="M648" s="26"/>
      <c r="N648" s="26"/>
      <c r="O648" s="26"/>
      <c r="P648" s="26"/>
      <c r="Q648" s="26"/>
    </row>
    <row r="649" ht="15.75" customHeight="1">
      <c r="A649" s="31" t="s">
        <v>39</v>
      </c>
      <c r="B649" s="9" t="s">
        <v>1998</v>
      </c>
      <c r="C649" s="19" t="s">
        <v>1372</v>
      </c>
      <c r="D649" s="22" t="s">
        <v>1362</v>
      </c>
      <c r="E649" s="19" t="s">
        <v>109</v>
      </c>
      <c r="F649" s="19" t="s">
        <v>89</v>
      </c>
      <c r="G649" s="19" t="s">
        <v>90</v>
      </c>
      <c r="H649" s="24" t="s">
        <v>59</v>
      </c>
      <c r="I649" s="25" t="s">
        <v>2066</v>
      </c>
      <c r="J649" s="19"/>
      <c r="K649" s="19" t="s">
        <v>112</v>
      </c>
      <c r="L649" s="22"/>
      <c r="M649" s="26"/>
      <c r="N649" s="26"/>
      <c r="O649" s="26"/>
      <c r="P649" s="26"/>
      <c r="Q649" s="26"/>
    </row>
    <row r="650" ht="15.75" customHeight="1">
      <c r="A650" s="31" t="s">
        <v>39</v>
      </c>
      <c r="B650" s="9" t="s">
        <v>1998</v>
      </c>
      <c r="C650" s="19" t="s">
        <v>1372</v>
      </c>
      <c r="D650" s="22" t="s">
        <v>2067</v>
      </c>
      <c r="E650" s="19" t="s">
        <v>109</v>
      </c>
      <c r="F650" s="19" t="s">
        <v>824</v>
      </c>
      <c r="G650" s="19" t="s">
        <v>90</v>
      </c>
      <c r="H650" s="24" t="s">
        <v>59</v>
      </c>
      <c r="I650" s="25" t="s">
        <v>2068</v>
      </c>
      <c r="J650" s="19"/>
      <c r="K650" s="19" t="s">
        <v>162</v>
      </c>
      <c r="L650" s="22"/>
      <c r="M650" s="26"/>
      <c r="N650" s="26"/>
      <c r="O650" s="26"/>
      <c r="P650" s="26"/>
      <c r="Q650" s="26"/>
    </row>
    <row r="651" ht="15.75" hidden="1" customHeight="1">
      <c r="A651" s="31" t="s">
        <v>39</v>
      </c>
      <c r="B651" s="9" t="s">
        <v>2069</v>
      </c>
      <c r="C651" s="19" t="s">
        <v>2070</v>
      </c>
      <c r="D651" s="22" t="s">
        <v>2071</v>
      </c>
      <c r="E651" s="19" t="s">
        <v>116</v>
      </c>
      <c r="F651" s="19" t="s">
        <v>421</v>
      </c>
      <c r="G651" s="19" t="s">
        <v>57</v>
      </c>
      <c r="H651" s="22" t="s">
        <v>155</v>
      </c>
      <c r="I651" s="25" t="s">
        <v>2072</v>
      </c>
      <c r="J651" s="19" t="s">
        <v>1445</v>
      </c>
      <c r="K651" s="19" t="s">
        <v>110</v>
      </c>
      <c r="L651" s="22"/>
      <c r="M651" s="26"/>
      <c r="N651" s="26"/>
      <c r="O651" s="26"/>
      <c r="P651" s="26"/>
      <c r="Q651" s="26"/>
    </row>
    <row r="652" ht="15.75" hidden="1" customHeight="1">
      <c r="A652" s="31" t="s">
        <v>39</v>
      </c>
      <c r="B652" s="9" t="s">
        <v>2069</v>
      </c>
      <c r="C652" s="19" t="s">
        <v>2073</v>
      </c>
      <c r="D652" s="22" t="s">
        <v>2074</v>
      </c>
      <c r="E652" s="19" t="s">
        <v>54</v>
      </c>
      <c r="F652" s="19" t="s">
        <v>2075</v>
      </c>
      <c r="G652" s="19" t="s">
        <v>57</v>
      </c>
      <c r="H652" s="22" t="s">
        <v>365</v>
      </c>
      <c r="I652" s="25" t="s">
        <v>2076</v>
      </c>
      <c r="J652" s="19" t="s">
        <v>1850</v>
      </c>
      <c r="K652" s="19" t="s">
        <v>82</v>
      </c>
      <c r="L652" s="22"/>
      <c r="M652" s="26"/>
      <c r="N652" s="26"/>
      <c r="O652" s="26"/>
      <c r="P652" s="26"/>
      <c r="Q652" s="26"/>
    </row>
    <row r="653" ht="15.75" hidden="1" customHeight="1">
      <c r="A653" s="31" t="s">
        <v>39</v>
      </c>
      <c r="B653" s="9" t="s">
        <v>2069</v>
      </c>
      <c r="C653" s="19" t="s">
        <v>2077</v>
      </c>
      <c r="D653" s="22" t="s">
        <v>2078</v>
      </c>
      <c r="E653" s="19" t="s">
        <v>54</v>
      </c>
      <c r="F653" s="19" t="s">
        <v>2079</v>
      </c>
      <c r="G653" s="19" t="s">
        <v>57</v>
      </c>
      <c r="H653" s="22" t="s">
        <v>365</v>
      </c>
      <c r="I653" s="25" t="s">
        <v>2080</v>
      </c>
      <c r="J653" s="19" t="s">
        <v>635</v>
      </c>
      <c r="K653" s="19" t="s">
        <v>66</v>
      </c>
      <c r="L653" s="22"/>
      <c r="M653" s="26"/>
      <c r="N653" s="26"/>
      <c r="O653" s="26"/>
      <c r="P653" s="26"/>
      <c r="Q653" s="26"/>
    </row>
    <row r="654" ht="15.75" hidden="1" customHeight="1">
      <c r="A654" s="31" t="s">
        <v>39</v>
      </c>
      <c r="B654" s="9" t="s">
        <v>2069</v>
      </c>
      <c r="C654" s="19" t="s">
        <v>2081</v>
      </c>
      <c r="D654" s="22" t="s">
        <v>2082</v>
      </c>
      <c r="E654" s="19" t="s">
        <v>54</v>
      </c>
      <c r="F654" s="19" t="s">
        <v>2083</v>
      </c>
      <c r="G654" s="19" t="s">
        <v>57</v>
      </c>
      <c r="H654" s="22" t="s">
        <v>365</v>
      </c>
      <c r="I654" s="25" t="s">
        <v>2084</v>
      </c>
      <c r="J654" s="19" t="s">
        <v>140</v>
      </c>
      <c r="K654" s="19" t="s">
        <v>40</v>
      </c>
      <c r="L654" s="22" t="s">
        <v>2085</v>
      </c>
      <c r="M654" s="26"/>
      <c r="N654" s="26"/>
      <c r="O654" s="26"/>
      <c r="P654" s="26"/>
      <c r="Q654" s="26"/>
    </row>
    <row r="655" ht="15.75" hidden="1" customHeight="1">
      <c r="A655" s="31" t="s">
        <v>39</v>
      </c>
      <c r="B655" s="9" t="s">
        <v>2069</v>
      </c>
      <c r="C655" s="19" t="s">
        <v>1700</v>
      </c>
      <c r="D655" s="22" t="s">
        <v>2086</v>
      </c>
      <c r="E655" s="19" t="s">
        <v>54</v>
      </c>
      <c r="F655" s="19" t="s">
        <v>241</v>
      </c>
      <c r="G655" s="19" t="s">
        <v>57</v>
      </c>
      <c r="H655" s="22" t="s">
        <v>365</v>
      </c>
      <c r="I655" s="25" t="s">
        <v>2087</v>
      </c>
      <c r="J655" s="19" t="s">
        <v>1371</v>
      </c>
      <c r="K655" s="19" t="s">
        <v>40</v>
      </c>
      <c r="L655" s="22" t="s">
        <v>2088</v>
      </c>
      <c r="M655" s="26"/>
      <c r="N655" s="26"/>
      <c r="O655" s="26"/>
      <c r="P655" s="26"/>
      <c r="Q655" s="26"/>
    </row>
    <row r="656" ht="15.75" hidden="1" customHeight="1">
      <c r="A656" s="31" t="s">
        <v>39</v>
      </c>
      <c r="B656" s="9" t="s">
        <v>2069</v>
      </c>
      <c r="C656" s="19" t="s">
        <v>1150</v>
      </c>
      <c r="D656" s="22" t="s">
        <v>2089</v>
      </c>
      <c r="E656" s="19" t="s">
        <v>124</v>
      </c>
      <c r="F656" s="19" t="s">
        <v>2090</v>
      </c>
      <c r="G656" s="19" t="s">
        <v>57</v>
      </c>
      <c r="H656" s="24" t="s">
        <v>59</v>
      </c>
      <c r="I656" s="25" t="s">
        <v>1153</v>
      </c>
      <c r="J656" s="19"/>
      <c r="K656" s="19" t="s">
        <v>74</v>
      </c>
      <c r="L656" s="22"/>
      <c r="M656" s="26"/>
      <c r="N656" s="26"/>
      <c r="O656" s="26"/>
      <c r="P656" s="26"/>
      <c r="Q656" s="26"/>
    </row>
    <row r="657" ht="15.75" hidden="1" customHeight="1">
      <c r="A657" s="31" t="s">
        <v>39</v>
      </c>
      <c r="B657" s="9" t="s">
        <v>2069</v>
      </c>
      <c r="C657" s="19" t="s">
        <v>2091</v>
      </c>
      <c r="D657" s="22" t="s">
        <v>2092</v>
      </c>
      <c r="E657" s="19" t="s">
        <v>54</v>
      </c>
      <c r="F657" s="19" t="s">
        <v>2093</v>
      </c>
      <c r="G657" s="19" t="s">
        <v>57</v>
      </c>
      <c r="H657" s="22" t="s">
        <v>365</v>
      </c>
      <c r="I657" s="25" t="s">
        <v>2094</v>
      </c>
      <c r="J657" s="19" t="s">
        <v>635</v>
      </c>
      <c r="K657" s="19" t="s">
        <v>66</v>
      </c>
      <c r="L657" s="22"/>
      <c r="M657" s="26"/>
      <c r="N657" s="26"/>
      <c r="O657" s="26"/>
      <c r="P657" s="26"/>
      <c r="Q657" s="26"/>
    </row>
    <row r="658" ht="15.75" hidden="1" customHeight="1">
      <c r="A658" s="31" t="s">
        <v>39</v>
      </c>
      <c r="B658" s="9" t="s">
        <v>2069</v>
      </c>
      <c r="C658" s="19" t="s">
        <v>1158</v>
      </c>
      <c r="D658" s="22" t="s">
        <v>2095</v>
      </c>
      <c r="E658" s="19" t="s">
        <v>124</v>
      </c>
      <c r="F658" s="19" t="s">
        <v>631</v>
      </c>
      <c r="G658" s="19" t="s">
        <v>57</v>
      </c>
      <c r="H658" s="24" t="s">
        <v>59</v>
      </c>
      <c r="I658" s="25" t="s">
        <v>2096</v>
      </c>
      <c r="J658" s="19"/>
      <c r="K658" s="19" t="s">
        <v>171</v>
      </c>
      <c r="L658" s="22" t="s">
        <v>2097</v>
      </c>
      <c r="M658" s="26"/>
      <c r="N658" s="26"/>
      <c r="O658" s="26"/>
      <c r="P658" s="26"/>
      <c r="Q658" s="26"/>
    </row>
    <row r="659" ht="15.75" hidden="1" customHeight="1">
      <c r="A659" s="31" t="s">
        <v>39</v>
      </c>
      <c r="B659" s="9" t="s">
        <v>2069</v>
      </c>
      <c r="C659" s="19" t="s">
        <v>2098</v>
      </c>
      <c r="D659" s="22" t="s">
        <v>2099</v>
      </c>
      <c r="E659" s="19" t="s">
        <v>54</v>
      </c>
      <c r="F659" s="19" t="s">
        <v>103</v>
      </c>
      <c r="G659" s="19" t="s">
        <v>57</v>
      </c>
      <c r="H659" s="22" t="s">
        <v>365</v>
      </c>
      <c r="I659" s="25" t="s">
        <v>2100</v>
      </c>
      <c r="J659" s="19" t="s">
        <v>811</v>
      </c>
      <c r="K659" s="19" t="s">
        <v>66</v>
      </c>
      <c r="L659" s="22" t="s">
        <v>2101</v>
      </c>
      <c r="M659" s="26"/>
      <c r="N659" s="26"/>
      <c r="O659" s="26"/>
      <c r="P659" s="26"/>
      <c r="Q659" s="26"/>
    </row>
    <row r="660" ht="15.75" customHeight="1">
      <c r="A660" s="31" t="s">
        <v>39</v>
      </c>
      <c r="B660" s="9" t="s">
        <v>2069</v>
      </c>
      <c r="C660" s="19" t="s">
        <v>2102</v>
      </c>
      <c r="D660" s="22" t="s">
        <v>2103</v>
      </c>
      <c r="E660" s="19" t="s">
        <v>109</v>
      </c>
      <c r="F660" s="19" t="s">
        <v>335</v>
      </c>
      <c r="G660" s="19" t="s">
        <v>90</v>
      </c>
      <c r="H660" s="22" t="s">
        <v>155</v>
      </c>
      <c r="I660" s="25" t="s">
        <v>2104</v>
      </c>
      <c r="J660" s="19"/>
      <c r="K660" s="19" t="s">
        <v>100</v>
      </c>
      <c r="L660" s="22" t="s">
        <v>1126</v>
      </c>
      <c r="M660" s="26"/>
      <c r="N660" s="26"/>
      <c r="O660" s="26"/>
      <c r="P660" s="26"/>
      <c r="Q660" s="26"/>
    </row>
    <row r="661" ht="15.75" customHeight="1">
      <c r="A661" s="31" t="s">
        <v>39</v>
      </c>
      <c r="B661" s="9" t="s">
        <v>2069</v>
      </c>
      <c r="C661" s="19" t="s">
        <v>2105</v>
      </c>
      <c r="D661" s="22" t="s">
        <v>656</v>
      </c>
      <c r="E661" s="19" t="s">
        <v>109</v>
      </c>
      <c r="F661" s="19" t="s">
        <v>335</v>
      </c>
      <c r="G661" s="19" t="s">
        <v>90</v>
      </c>
      <c r="H661" s="22" t="s">
        <v>155</v>
      </c>
      <c r="I661" s="25" t="s">
        <v>2106</v>
      </c>
      <c r="J661" s="19"/>
      <c r="K661" s="19" t="s">
        <v>100</v>
      </c>
      <c r="L661" s="22"/>
      <c r="M661" s="26"/>
      <c r="N661" s="26"/>
      <c r="O661" s="26"/>
      <c r="P661" s="26"/>
      <c r="Q661" s="26"/>
    </row>
    <row r="662" ht="15.75" hidden="1" customHeight="1">
      <c r="A662" s="31" t="s">
        <v>39</v>
      </c>
      <c r="B662" s="9" t="s">
        <v>2069</v>
      </c>
      <c r="C662" s="19" t="s">
        <v>1716</v>
      </c>
      <c r="D662" s="22" t="s">
        <v>2107</v>
      </c>
      <c r="E662" s="19" t="s">
        <v>54</v>
      </c>
      <c r="F662" s="19" t="s">
        <v>186</v>
      </c>
      <c r="G662" s="19" t="s">
        <v>146</v>
      </c>
      <c r="H662" s="22" t="s">
        <v>365</v>
      </c>
      <c r="I662" s="25" t="s">
        <v>2108</v>
      </c>
      <c r="J662" s="19"/>
      <c r="K662" s="19" t="s">
        <v>255</v>
      </c>
      <c r="L662" s="22" t="s">
        <v>2109</v>
      </c>
      <c r="M662" s="26"/>
      <c r="N662" s="26"/>
      <c r="O662" s="26"/>
      <c r="P662" s="26"/>
      <c r="Q662" s="26"/>
    </row>
    <row r="663" ht="15.75" hidden="1" customHeight="1">
      <c r="A663" s="31" t="s">
        <v>39</v>
      </c>
      <c r="B663" s="9" t="s">
        <v>2069</v>
      </c>
      <c r="C663" s="19" t="s">
        <v>1716</v>
      </c>
      <c r="D663" s="22" t="s">
        <v>2110</v>
      </c>
      <c r="E663" s="19" t="s">
        <v>54</v>
      </c>
      <c r="F663" s="19" t="s">
        <v>89</v>
      </c>
      <c r="G663" s="19" t="s">
        <v>57</v>
      </c>
      <c r="H663" s="22" t="s">
        <v>365</v>
      </c>
      <c r="I663" s="25" t="s">
        <v>2111</v>
      </c>
      <c r="J663" s="19" t="s">
        <v>95</v>
      </c>
      <c r="K663" s="19" t="s">
        <v>52</v>
      </c>
      <c r="L663" s="22" t="s">
        <v>2112</v>
      </c>
      <c r="M663" s="26"/>
      <c r="N663" s="26"/>
      <c r="O663" s="26"/>
      <c r="P663" s="26"/>
      <c r="Q663" s="26"/>
    </row>
    <row r="664" ht="15.75" customHeight="1">
      <c r="A664" s="31" t="s">
        <v>39</v>
      </c>
      <c r="B664" s="9" t="s">
        <v>2069</v>
      </c>
      <c r="C664" s="19" t="s">
        <v>2113</v>
      </c>
      <c r="D664" s="22" t="s">
        <v>1350</v>
      </c>
      <c r="E664" s="19" t="s">
        <v>109</v>
      </c>
      <c r="F664" s="19" t="s">
        <v>335</v>
      </c>
      <c r="G664" s="19" t="s">
        <v>90</v>
      </c>
      <c r="H664" s="22" t="s">
        <v>155</v>
      </c>
      <c r="I664" s="25" t="s">
        <v>2114</v>
      </c>
      <c r="J664" s="19"/>
      <c r="K664" s="19" t="s">
        <v>112</v>
      </c>
      <c r="L664" s="22"/>
      <c r="M664" s="26"/>
      <c r="N664" s="26"/>
      <c r="O664" s="26"/>
      <c r="P664" s="26"/>
      <c r="Q664" s="26"/>
    </row>
    <row r="665" ht="15.75" hidden="1" customHeight="1">
      <c r="A665" s="31" t="s">
        <v>39</v>
      </c>
      <c r="B665" s="9" t="s">
        <v>2069</v>
      </c>
      <c r="C665" s="19" t="s">
        <v>1431</v>
      </c>
      <c r="D665" s="22" t="s">
        <v>2115</v>
      </c>
      <c r="E665" s="19" t="s">
        <v>54</v>
      </c>
      <c r="F665" s="19" t="s">
        <v>1433</v>
      </c>
      <c r="G665" s="19" t="s">
        <v>57</v>
      </c>
      <c r="H665" s="22" t="s">
        <v>365</v>
      </c>
      <c r="I665" s="25" t="s">
        <v>2116</v>
      </c>
      <c r="J665" s="19" t="s">
        <v>1435</v>
      </c>
      <c r="K665" s="19" t="s">
        <v>82</v>
      </c>
      <c r="L665" s="22"/>
      <c r="M665" s="26"/>
      <c r="N665" s="26"/>
      <c r="O665" s="26"/>
      <c r="P665" s="26"/>
      <c r="Q665" s="26"/>
    </row>
    <row r="666" ht="15.75" customHeight="1">
      <c r="A666" s="31" t="s">
        <v>39</v>
      </c>
      <c r="B666" s="9" t="s">
        <v>2069</v>
      </c>
      <c r="C666" s="19" t="s">
        <v>2117</v>
      </c>
      <c r="D666" s="22" t="s">
        <v>2118</v>
      </c>
      <c r="E666" s="19" t="s">
        <v>109</v>
      </c>
      <c r="F666" s="19" t="s">
        <v>2119</v>
      </c>
      <c r="G666" s="19" t="s">
        <v>90</v>
      </c>
      <c r="H666" s="22" t="s">
        <v>155</v>
      </c>
      <c r="I666" s="25" t="s">
        <v>2120</v>
      </c>
      <c r="J666" s="19" t="s">
        <v>319</v>
      </c>
      <c r="K666" s="19" t="s">
        <v>78</v>
      </c>
      <c r="L666" s="22"/>
      <c r="M666" s="26"/>
      <c r="N666" s="26"/>
      <c r="O666" s="26"/>
      <c r="P666" s="26"/>
      <c r="Q666" s="26"/>
    </row>
    <row r="667" ht="15.75" hidden="1" customHeight="1">
      <c r="A667" s="31" t="s">
        <v>39</v>
      </c>
      <c r="B667" s="9" t="s">
        <v>2069</v>
      </c>
      <c r="C667" s="19" t="s">
        <v>2121</v>
      </c>
      <c r="D667" s="22" t="s">
        <v>2122</v>
      </c>
      <c r="E667" s="19" t="s">
        <v>54</v>
      </c>
      <c r="F667" s="19" t="s">
        <v>421</v>
      </c>
      <c r="G667" s="19" t="s">
        <v>57</v>
      </c>
      <c r="H667" s="22" t="s">
        <v>365</v>
      </c>
      <c r="I667" s="25" t="s">
        <v>2123</v>
      </c>
      <c r="J667" s="19" t="s">
        <v>1445</v>
      </c>
      <c r="K667" s="19" t="s">
        <v>66</v>
      </c>
      <c r="L667" s="22"/>
      <c r="M667" s="26"/>
      <c r="N667" s="26"/>
      <c r="O667" s="26"/>
      <c r="P667" s="26"/>
      <c r="Q667" s="26"/>
    </row>
    <row r="668" ht="15.75" hidden="1" customHeight="1">
      <c r="A668" s="31" t="s">
        <v>39</v>
      </c>
      <c r="B668" s="9" t="s">
        <v>2069</v>
      </c>
      <c r="C668" s="19" t="s">
        <v>2124</v>
      </c>
      <c r="D668" s="22" t="s">
        <v>2125</v>
      </c>
      <c r="E668" s="19" t="s">
        <v>54</v>
      </c>
      <c r="F668" s="19" t="s">
        <v>2126</v>
      </c>
      <c r="G668" s="19" t="s">
        <v>57</v>
      </c>
      <c r="H668" s="22" t="s">
        <v>365</v>
      </c>
      <c r="I668" s="25" t="s">
        <v>2127</v>
      </c>
      <c r="J668" s="19" t="s">
        <v>337</v>
      </c>
      <c r="K668" s="19" t="s">
        <v>40</v>
      </c>
      <c r="L668" s="22" t="s">
        <v>2128</v>
      </c>
      <c r="M668" s="26"/>
      <c r="N668" s="26"/>
      <c r="O668" s="26"/>
      <c r="P668" s="26"/>
      <c r="Q668" s="26"/>
    </row>
    <row r="669" ht="15.75" hidden="1" customHeight="1">
      <c r="A669" s="31" t="s">
        <v>39</v>
      </c>
      <c r="B669" s="9" t="s">
        <v>2069</v>
      </c>
      <c r="C669" s="19" t="s">
        <v>2129</v>
      </c>
      <c r="D669" s="22" t="s">
        <v>2130</v>
      </c>
      <c r="E669" s="19" t="s">
        <v>54</v>
      </c>
      <c r="F669" s="19" t="s">
        <v>2131</v>
      </c>
      <c r="G669" s="19" t="s">
        <v>57</v>
      </c>
      <c r="H669" s="22" t="s">
        <v>365</v>
      </c>
      <c r="I669" s="25" t="s">
        <v>2132</v>
      </c>
      <c r="J669" s="19"/>
      <c r="K669" s="19" t="s">
        <v>184</v>
      </c>
      <c r="L669" s="22"/>
      <c r="M669" s="26"/>
      <c r="N669" s="26"/>
      <c r="O669" s="26"/>
      <c r="P669" s="26"/>
      <c r="Q669" s="26"/>
    </row>
    <row r="670" ht="15.75" hidden="1" customHeight="1">
      <c r="A670" s="31" t="s">
        <v>39</v>
      </c>
      <c r="B670" s="9" t="s">
        <v>2069</v>
      </c>
      <c r="C670" s="19" t="s">
        <v>2133</v>
      </c>
      <c r="D670" s="22" t="s">
        <v>2134</v>
      </c>
      <c r="E670" s="19" t="s">
        <v>54</v>
      </c>
      <c r="F670" s="19" t="s">
        <v>2135</v>
      </c>
      <c r="G670" s="19" t="s">
        <v>57</v>
      </c>
      <c r="H670" s="22" t="s">
        <v>365</v>
      </c>
      <c r="I670" s="25" t="s">
        <v>2136</v>
      </c>
      <c r="J670" s="19"/>
      <c r="K670" s="19" t="s">
        <v>117</v>
      </c>
      <c r="L670" s="22" t="s">
        <v>2137</v>
      </c>
      <c r="M670" s="26"/>
      <c r="N670" s="26"/>
      <c r="O670" s="26"/>
      <c r="P670" s="26"/>
      <c r="Q670" s="26"/>
    </row>
    <row r="671" ht="15.75" customHeight="1">
      <c r="A671" s="31" t="s">
        <v>39</v>
      </c>
      <c r="B671" s="9" t="s">
        <v>2069</v>
      </c>
      <c r="C671" s="19" t="s">
        <v>2138</v>
      </c>
      <c r="D671" s="22" t="s">
        <v>2139</v>
      </c>
      <c r="E671" s="19" t="s">
        <v>109</v>
      </c>
      <c r="F671" s="19" t="s">
        <v>335</v>
      </c>
      <c r="G671" s="19" t="s">
        <v>90</v>
      </c>
      <c r="H671" s="22" t="s">
        <v>155</v>
      </c>
      <c r="I671" s="25" t="s">
        <v>2140</v>
      </c>
      <c r="J671" s="19"/>
      <c r="K671" s="19" t="s">
        <v>100</v>
      </c>
      <c r="L671" s="22"/>
      <c r="M671" s="26"/>
      <c r="N671" s="26"/>
      <c r="O671" s="26"/>
      <c r="P671" s="26"/>
      <c r="Q671" s="26"/>
    </row>
    <row r="672" ht="15.75" customHeight="1">
      <c r="A672" s="31" t="s">
        <v>39</v>
      </c>
      <c r="B672" s="9" t="s">
        <v>2069</v>
      </c>
      <c r="C672" s="19" t="s">
        <v>2141</v>
      </c>
      <c r="D672" s="22" t="s">
        <v>2015</v>
      </c>
      <c r="E672" s="19" t="s">
        <v>109</v>
      </c>
      <c r="F672" s="19" t="s">
        <v>335</v>
      </c>
      <c r="G672" s="19" t="s">
        <v>90</v>
      </c>
      <c r="H672" s="22" t="s">
        <v>155</v>
      </c>
      <c r="I672" s="25" t="s">
        <v>2142</v>
      </c>
      <c r="J672" s="19" t="s">
        <v>619</v>
      </c>
      <c r="K672" s="19" t="s">
        <v>114</v>
      </c>
      <c r="L672" s="22"/>
      <c r="M672" s="26"/>
      <c r="N672" s="26"/>
      <c r="O672" s="26"/>
      <c r="P672" s="26"/>
      <c r="Q672" s="26"/>
    </row>
    <row r="673" ht="15.75" customHeight="1">
      <c r="A673" s="31" t="s">
        <v>39</v>
      </c>
      <c r="B673" s="9" t="s">
        <v>2069</v>
      </c>
      <c r="C673" s="19" t="s">
        <v>2143</v>
      </c>
      <c r="D673" s="22" t="s">
        <v>656</v>
      </c>
      <c r="E673" s="19" t="s">
        <v>109</v>
      </c>
      <c r="F673" s="19" t="s">
        <v>335</v>
      </c>
      <c r="G673" s="19" t="s">
        <v>90</v>
      </c>
      <c r="H673" s="22" t="s">
        <v>155</v>
      </c>
      <c r="I673" s="25" t="s">
        <v>2144</v>
      </c>
      <c r="J673" s="19" t="s">
        <v>1240</v>
      </c>
      <c r="K673" s="19" t="s">
        <v>114</v>
      </c>
      <c r="L673" s="22"/>
      <c r="M673" s="26"/>
      <c r="N673" s="26"/>
      <c r="O673" s="26"/>
      <c r="P673" s="26"/>
      <c r="Q673" s="26"/>
    </row>
    <row r="674" ht="15.75" hidden="1" customHeight="1">
      <c r="A674" s="31" t="s">
        <v>39</v>
      </c>
      <c r="B674" s="9" t="s">
        <v>2069</v>
      </c>
      <c r="C674" s="19" t="s">
        <v>2145</v>
      </c>
      <c r="D674" s="22" t="s">
        <v>2146</v>
      </c>
      <c r="E674" s="19" t="s">
        <v>54</v>
      </c>
      <c r="F674" s="19" t="s">
        <v>186</v>
      </c>
      <c r="G674" s="19" t="s">
        <v>57</v>
      </c>
      <c r="H674" s="22" t="s">
        <v>365</v>
      </c>
      <c r="I674" s="25" t="s">
        <v>2147</v>
      </c>
      <c r="J674" s="19"/>
      <c r="K674" s="19" t="s">
        <v>258</v>
      </c>
      <c r="L674" s="22" t="s">
        <v>1731</v>
      </c>
      <c r="M674" s="26"/>
      <c r="N674" s="26"/>
      <c r="O674" s="26"/>
      <c r="P674" s="26"/>
      <c r="Q674" s="26"/>
    </row>
    <row r="675" ht="15.75" hidden="1" customHeight="1">
      <c r="A675" s="31" t="s">
        <v>39</v>
      </c>
      <c r="B675" s="9" t="s">
        <v>2069</v>
      </c>
      <c r="C675" s="19" t="s">
        <v>2148</v>
      </c>
      <c r="D675" s="22" t="s">
        <v>2149</v>
      </c>
      <c r="E675" s="19" t="s">
        <v>54</v>
      </c>
      <c r="F675" s="19" t="s">
        <v>2150</v>
      </c>
      <c r="G675" s="19" t="s">
        <v>57</v>
      </c>
      <c r="H675" s="22" t="s">
        <v>365</v>
      </c>
      <c r="I675" s="25" t="s">
        <v>2151</v>
      </c>
      <c r="J675" s="19" t="s">
        <v>95</v>
      </c>
      <c r="K675" s="19" t="s">
        <v>52</v>
      </c>
      <c r="L675" s="22"/>
      <c r="M675" s="26"/>
      <c r="N675" s="26"/>
      <c r="O675" s="26"/>
      <c r="P675" s="26"/>
      <c r="Q675" s="26"/>
    </row>
    <row r="676" ht="15.75" hidden="1" customHeight="1">
      <c r="A676" s="31" t="s">
        <v>39</v>
      </c>
      <c r="B676" s="9" t="s">
        <v>2069</v>
      </c>
      <c r="C676" s="19" t="s">
        <v>2152</v>
      </c>
      <c r="D676" s="22" t="s">
        <v>2153</v>
      </c>
      <c r="E676" s="19" t="s">
        <v>54</v>
      </c>
      <c r="F676" s="19" t="s">
        <v>241</v>
      </c>
      <c r="G676" s="19" t="s">
        <v>57</v>
      </c>
      <c r="H676" s="22" t="s">
        <v>365</v>
      </c>
      <c r="I676" s="25" t="s">
        <v>2154</v>
      </c>
      <c r="J676" s="19" t="s">
        <v>1106</v>
      </c>
      <c r="K676" s="19" t="s">
        <v>82</v>
      </c>
      <c r="L676" s="22" t="s">
        <v>2155</v>
      </c>
      <c r="M676" s="26"/>
      <c r="N676" s="26"/>
      <c r="O676" s="26"/>
      <c r="P676" s="26"/>
      <c r="Q676" s="26"/>
    </row>
    <row r="677" ht="15.75" hidden="1" customHeight="1">
      <c r="A677" s="31" t="s">
        <v>39</v>
      </c>
      <c r="B677" s="9" t="s">
        <v>2069</v>
      </c>
      <c r="C677" s="19" t="s">
        <v>2156</v>
      </c>
      <c r="D677" s="22" t="s">
        <v>2157</v>
      </c>
      <c r="E677" s="19" t="s">
        <v>54</v>
      </c>
      <c r="F677" s="19" t="s">
        <v>2158</v>
      </c>
      <c r="G677" s="19" t="s">
        <v>57</v>
      </c>
      <c r="H677" s="22" t="s">
        <v>365</v>
      </c>
      <c r="I677" s="25" t="s">
        <v>2159</v>
      </c>
      <c r="J677" s="19" t="s">
        <v>1445</v>
      </c>
      <c r="K677" s="19" t="s">
        <v>66</v>
      </c>
      <c r="L677" s="22"/>
      <c r="M677" s="26"/>
      <c r="N677" s="26"/>
      <c r="O677" s="26"/>
      <c r="P677" s="26"/>
      <c r="Q677" s="26"/>
    </row>
    <row r="678" ht="15.75" hidden="1" customHeight="1">
      <c r="A678" s="31" t="s">
        <v>39</v>
      </c>
      <c r="B678" s="9" t="s">
        <v>2069</v>
      </c>
      <c r="C678" s="19" t="s">
        <v>2160</v>
      </c>
      <c r="D678" s="22" t="s">
        <v>2161</v>
      </c>
      <c r="E678" s="19" t="s">
        <v>54</v>
      </c>
      <c r="F678" s="19" t="s">
        <v>2162</v>
      </c>
      <c r="G678" s="19" t="s">
        <v>57</v>
      </c>
      <c r="H678" s="22" t="s">
        <v>365</v>
      </c>
      <c r="I678" s="25" t="s">
        <v>2163</v>
      </c>
      <c r="J678" s="19" t="s">
        <v>811</v>
      </c>
      <c r="K678" s="19" t="s">
        <v>66</v>
      </c>
      <c r="L678" s="22"/>
      <c r="M678" s="26"/>
      <c r="N678" s="26"/>
      <c r="O678" s="26"/>
      <c r="P678" s="26"/>
      <c r="Q678" s="26"/>
    </row>
    <row r="679" ht="15.75" customHeight="1">
      <c r="A679" s="31" t="s">
        <v>39</v>
      </c>
      <c r="B679" s="9" t="s">
        <v>2069</v>
      </c>
      <c r="C679" s="19" t="s">
        <v>187</v>
      </c>
      <c r="D679" s="22" t="s">
        <v>656</v>
      </c>
      <c r="E679" s="19" t="s">
        <v>109</v>
      </c>
      <c r="F679" s="19" t="s">
        <v>335</v>
      </c>
      <c r="G679" s="19" t="s">
        <v>90</v>
      </c>
      <c r="H679" s="22" t="s">
        <v>155</v>
      </c>
      <c r="I679" s="25" t="s">
        <v>2164</v>
      </c>
      <c r="J679" s="19" t="s">
        <v>337</v>
      </c>
      <c r="K679" s="19" t="s">
        <v>92</v>
      </c>
      <c r="L679" s="22"/>
      <c r="M679" s="26"/>
      <c r="N679" s="26"/>
      <c r="O679" s="26"/>
      <c r="P679" s="26"/>
      <c r="Q679" s="26"/>
    </row>
    <row r="680" ht="15.75" customHeight="1">
      <c r="A680" s="31" t="s">
        <v>39</v>
      </c>
      <c r="B680" s="9" t="s">
        <v>2069</v>
      </c>
      <c r="C680" s="19" t="s">
        <v>187</v>
      </c>
      <c r="D680" s="22" t="s">
        <v>2165</v>
      </c>
      <c r="E680" s="19" t="s">
        <v>109</v>
      </c>
      <c r="F680" s="19" t="s">
        <v>335</v>
      </c>
      <c r="G680" s="19" t="s">
        <v>90</v>
      </c>
      <c r="H680" s="22" t="s">
        <v>155</v>
      </c>
      <c r="I680" s="25" t="s">
        <v>1187</v>
      </c>
      <c r="J680" s="19" t="s">
        <v>337</v>
      </c>
      <c r="K680" s="19" t="s">
        <v>92</v>
      </c>
      <c r="L680" s="22"/>
      <c r="M680" s="26"/>
      <c r="N680" s="26"/>
      <c r="O680" s="26"/>
      <c r="P680" s="26"/>
      <c r="Q680" s="26"/>
    </row>
    <row r="681" ht="15.75" customHeight="1">
      <c r="A681" s="31" t="s">
        <v>39</v>
      </c>
      <c r="B681" s="9" t="s">
        <v>2069</v>
      </c>
      <c r="C681" s="19" t="s">
        <v>2166</v>
      </c>
      <c r="D681" s="22" t="s">
        <v>656</v>
      </c>
      <c r="E681" s="19" t="s">
        <v>109</v>
      </c>
      <c r="F681" s="19" t="s">
        <v>335</v>
      </c>
      <c r="G681" s="19" t="s">
        <v>90</v>
      </c>
      <c r="H681" s="22" t="s">
        <v>155</v>
      </c>
      <c r="I681" s="25" t="s">
        <v>2167</v>
      </c>
      <c r="J681" s="19" t="s">
        <v>2168</v>
      </c>
      <c r="K681" s="19" t="s">
        <v>114</v>
      </c>
      <c r="L681" s="22"/>
      <c r="M681" s="26"/>
      <c r="N681" s="26"/>
      <c r="O681" s="26"/>
      <c r="P681" s="26"/>
      <c r="Q681" s="26"/>
    </row>
    <row r="682" ht="15.75" hidden="1" customHeight="1">
      <c r="A682" s="31" t="s">
        <v>39</v>
      </c>
      <c r="B682" s="9" t="s">
        <v>2069</v>
      </c>
      <c r="C682" s="19" t="s">
        <v>2169</v>
      </c>
      <c r="D682" s="22" t="s">
        <v>2170</v>
      </c>
      <c r="E682" s="19" t="s">
        <v>116</v>
      </c>
      <c r="F682" s="19" t="s">
        <v>2171</v>
      </c>
      <c r="G682" s="19" t="s">
        <v>57</v>
      </c>
      <c r="H682" s="22" t="s">
        <v>155</v>
      </c>
      <c r="I682" s="25" t="s">
        <v>2172</v>
      </c>
      <c r="J682" s="19" t="s">
        <v>1371</v>
      </c>
      <c r="K682" s="19" t="s">
        <v>110</v>
      </c>
      <c r="L682" s="22"/>
      <c r="M682" s="26"/>
      <c r="N682" s="26"/>
      <c r="O682" s="26"/>
      <c r="P682" s="26"/>
      <c r="Q682" s="26"/>
    </row>
    <row r="683" ht="15.75" hidden="1" customHeight="1">
      <c r="A683" s="31" t="s">
        <v>39</v>
      </c>
      <c r="B683" s="9" t="s">
        <v>2069</v>
      </c>
      <c r="C683" s="19" t="s">
        <v>2173</v>
      </c>
      <c r="D683" s="22" t="s">
        <v>2174</v>
      </c>
      <c r="E683" s="19" t="s">
        <v>54</v>
      </c>
      <c r="F683" s="19" t="s">
        <v>631</v>
      </c>
      <c r="G683" s="19" t="s">
        <v>57</v>
      </c>
      <c r="H683" s="22" t="s">
        <v>365</v>
      </c>
      <c r="I683" s="25" t="s">
        <v>2175</v>
      </c>
      <c r="J683" s="19" t="s">
        <v>1715</v>
      </c>
      <c r="K683" s="19" t="s">
        <v>40</v>
      </c>
      <c r="L683" s="22"/>
      <c r="M683" s="26"/>
      <c r="N683" s="26"/>
      <c r="O683" s="26"/>
      <c r="P683" s="26"/>
      <c r="Q683" s="26"/>
    </row>
    <row r="684" ht="15.75" customHeight="1">
      <c r="A684" s="31" t="s">
        <v>39</v>
      </c>
      <c r="B684" s="9" t="s">
        <v>2069</v>
      </c>
      <c r="C684" s="19" t="s">
        <v>2176</v>
      </c>
      <c r="D684" s="22" t="s">
        <v>1362</v>
      </c>
      <c r="E684" s="19" t="s">
        <v>109</v>
      </c>
      <c r="F684" s="19" t="s">
        <v>335</v>
      </c>
      <c r="G684" s="19" t="s">
        <v>90</v>
      </c>
      <c r="H684" s="22" t="s">
        <v>155</v>
      </c>
      <c r="I684" s="25" t="s">
        <v>2177</v>
      </c>
      <c r="J684" s="19" t="s">
        <v>2168</v>
      </c>
      <c r="K684" s="19" t="s">
        <v>114</v>
      </c>
      <c r="L684" s="22"/>
      <c r="M684" s="26"/>
      <c r="N684" s="26"/>
      <c r="O684" s="26"/>
      <c r="P684" s="26"/>
      <c r="Q684" s="26"/>
    </row>
    <row r="685" ht="15.75" hidden="1" customHeight="1">
      <c r="A685" s="31" t="s">
        <v>39</v>
      </c>
      <c r="B685" s="9" t="s">
        <v>2069</v>
      </c>
      <c r="C685" s="19" t="s">
        <v>2178</v>
      </c>
      <c r="D685" s="22" t="s">
        <v>2179</v>
      </c>
      <c r="E685" s="19" t="s">
        <v>54</v>
      </c>
      <c r="F685" s="19" t="s">
        <v>2180</v>
      </c>
      <c r="G685" s="19" t="s">
        <v>57</v>
      </c>
      <c r="H685" s="22" t="s">
        <v>365</v>
      </c>
      <c r="I685" s="25" t="s">
        <v>2181</v>
      </c>
      <c r="J685" s="19" t="s">
        <v>1445</v>
      </c>
      <c r="K685" s="19" t="s">
        <v>40</v>
      </c>
      <c r="L685" s="22" t="s">
        <v>2182</v>
      </c>
      <c r="M685" s="26"/>
      <c r="N685" s="26"/>
      <c r="O685" s="26"/>
      <c r="P685" s="26"/>
      <c r="Q685" s="26"/>
    </row>
    <row r="686" ht="15.75" hidden="1" customHeight="1">
      <c r="A686" s="31" t="s">
        <v>39</v>
      </c>
      <c r="B686" s="9" t="s">
        <v>2069</v>
      </c>
      <c r="C686" s="19" t="s">
        <v>197</v>
      </c>
      <c r="D686" s="22" t="s">
        <v>2183</v>
      </c>
      <c r="E686" s="19" t="s">
        <v>54</v>
      </c>
      <c r="F686" s="19" t="s">
        <v>2180</v>
      </c>
      <c r="G686" s="19" t="s">
        <v>57</v>
      </c>
      <c r="H686" s="22" t="s">
        <v>365</v>
      </c>
      <c r="I686" s="25" t="s">
        <v>2184</v>
      </c>
      <c r="J686" s="19" t="s">
        <v>456</v>
      </c>
      <c r="K686" s="19" t="s">
        <v>82</v>
      </c>
      <c r="L686" s="22" t="s">
        <v>2185</v>
      </c>
      <c r="M686" s="26"/>
      <c r="N686" s="26"/>
      <c r="O686" s="26"/>
      <c r="P686" s="26"/>
      <c r="Q686" s="26"/>
    </row>
    <row r="687" ht="15.75" hidden="1" customHeight="1">
      <c r="A687" s="31" t="s">
        <v>39</v>
      </c>
      <c r="B687" s="9" t="s">
        <v>2069</v>
      </c>
      <c r="C687" s="19" t="s">
        <v>197</v>
      </c>
      <c r="D687" s="22" t="s">
        <v>2186</v>
      </c>
      <c r="E687" s="19" t="s">
        <v>54</v>
      </c>
      <c r="F687" s="19" t="s">
        <v>2187</v>
      </c>
      <c r="G687" s="19" t="s">
        <v>57</v>
      </c>
      <c r="H687" s="22" t="s">
        <v>365</v>
      </c>
      <c r="I687" s="25" t="s">
        <v>2188</v>
      </c>
      <c r="J687" s="19" t="s">
        <v>1106</v>
      </c>
      <c r="K687" s="19" t="s">
        <v>66</v>
      </c>
      <c r="L687" s="22" t="s">
        <v>2189</v>
      </c>
      <c r="M687" s="26"/>
      <c r="N687" s="26"/>
      <c r="O687" s="26"/>
      <c r="P687" s="26"/>
      <c r="Q687" s="26"/>
    </row>
    <row r="688" ht="15.75" hidden="1" customHeight="1">
      <c r="A688" s="31" t="s">
        <v>39</v>
      </c>
      <c r="B688" s="9" t="s">
        <v>2069</v>
      </c>
      <c r="C688" s="19" t="s">
        <v>651</v>
      </c>
      <c r="D688" s="22" t="s">
        <v>2190</v>
      </c>
      <c r="E688" s="19" t="s">
        <v>54</v>
      </c>
      <c r="F688" s="19" t="s">
        <v>494</v>
      </c>
      <c r="G688" s="19" t="s">
        <v>57</v>
      </c>
      <c r="H688" s="22" t="s">
        <v>365</v>
      </c>
      <c r="I688" s="25" t="s">
        <v>653</v>
      </c>
      <c r="J688" s="19"/>
      <c r="K688" s="19" t="s">
        <v>260</v>
      </c>
      <c r="L688" s="22"/>
      <c r="M688" s="26"/>
      <c r="N688" s="26"/>
      <c r="O688" s="26"/>
      <c r="P688" s="26"/>
      <c r="Q688" s="26"/>
    </row>
    <row r="689" ht="15.75" hidden="1" customHeight="1">
      <c r="A689" s="31" t="s">
        <v>39</v>
      </c>
      <c r="B689" s="9" t="s">
        <v>2069</v>
      </c>
      <c r="C689" s="19" t="s">
        <v>2191</v>
      </c>
      <c r="D689" s="22" t="s">
        <v>2192</v>
      </c>
      <c r="E689" s="19" t="s">
        <v>54</v>
      </c>
      <c r="F689" s="19" t="s">
        <v>241</v>
      </c>
      <c r="G689" s="19" t="s">
        <v>57</v>
      </c>
      <c r="H689" s="22" t="s">
        <v>365</v>
      </c>
      <c r="I689" s="25" t="s">
        <v>1505</v>
      </c>
      <c r="J689" s="19" t="s">
        <v>2193</v>
      </c>
      <c r="K689" s="19" t="s">
        <v>40</v>
      </c>
      <c r="L689" s="22" t="s">
        <v>2194</v>
      </c>
      <c r="M689" s="26"/>
      <c r="N689" s="26"/>
      <c r="O689" s="26"/>
      <c r="P689" s="26"/>
      <c r="Q689" s="26"/>
    </row>
    <row r="690" ht="15.75" hidden="1" customHeight="1">
      <c r="A690" s="31" t="s">
        <v>39</v>
      </c>
      <c r="B690" s="9" t="s">
        <v>2069</v>
      </c>
      <c r="C690" s="19" t="s">
        <v>2195</v>
      </c>
      <c r="D690" s="22" t="s">
        <v>2196</v>
      </c>
      <c r="E690" s="19" t="s">
        <v>54</v>
      </c>
      <c r="F690" s="19" t="s">
        <v>186</v>
      </c>
      <c r="G690" s="19" t="s">
        <v>57</v>
      </c>
      <c r="H690" s="22" t="s">
        <v>365</v>
      </c>
      <c r="I690" s="25" t="s">
        <v>2197</v>
      </c>
      <c r="J690" s="19"/>
      <c r="K690" s="19" t="s">
        <v>264</v>
      </c>
      <c r="L690" s="22" t="s">
        <v>2198</v>
      </c>
      <c r="M690" s="26"/>
      <c r="N690" s="26"/>
      <c r="O690" s="26"/>
      <c r="P690" s="26"/>
      <c r="Q690" s="26"/>
    </row>
    <row r="691" ht="15.75" hidden="1" customHeight="1">
      <c r="A691" s="31" t="s">
        <v>39</v>
      </c>
      <c r="B691" s="9" t="s">
        <v>2069</v>
      </c>
      <c r="C691" s="19" t="s">
        <v>2199</v>
      </c>
      <c r="D691" s="22" t="s">
        <v>2200</v>
      </c>
      <c r="E691" s="19" t="s">
        <v>124</v>
      </c>
      <c r="F691" s="19" t="s">
        <v>2201</v>
      </c>
      <c r="G691" s="19" t="s">
        <v>57</v>
      </c>
      <c r="H691" s="24" t="s">
        <v>59</v>
      </c>
      <c r="I691" s="25" t="s">
        <v>2202</v>
      </c>
      <c r="J691" s="19" t="s">
        <v>1349</v>
      </c>
      <c r="K691" s="19" t="s">
        <v>52</v>
      </c>
      <c r="L691" s="22"/>
      <c r="M691" s="26"/>
      <c r="N691" s="26"/>
      <c r="O691" s="26"/>
      <c r="P691" s="26"/>
      <c r="Q691" s="26"/>
    </row>
    <row r="692" ht="15.75" hidden="1" customHeight="1">
      <c r="A692" s="31" t="s">
        <v>39</v>
      </c>
      <c r="B692" s="9" t="s">
        <v>2069</v>
      </c>
      <c r="C692" s="19" t="s">
        <v>2203</v>
      </c>
      <c r="D692" s="22" t="s">
        <v>2149</v>
      </c>
      <c r="E692" s="19" t="s">
        <v>54</v>
      </c>
      <c r="F692" s="19" t="s">
        <v>103</v>
      </c>
      <c r="G692" s="19" t="s">
        <v>57</v>
      </c>
      <c r="H692" s="22" t="s">
        <v>365</v>
      </c>
      <c r="I692" s="25" t="s">
        <v>2204</v>
      </c>
      <c r="J692" s="19" t="s">
        <v>798</v>
      </c>
      <c r="K692" s="19" t="s">
        <v>66</v>
      </c>
      <c r="L692" s="22"/>
      <c r="M692" s="26"/>
      <c r="N692" s="26"/>
      <c r="O692" s="26"/>
      <c r="P692" s="26"/>
      <c r="Q692" s="26"/>
    </row>
    <row r="693" ht="15.75" hidden="1" customHeight="1">
      <c r="A693" s="31" t="s">
        <v>39</v>
      </c>
      <c r="B693" s="9" t="s">
        <v>2069</v>
      </c>
      <c r="C693" s="19" t="s">
        <v>1776</v>
      </c>
      <c r="D693" s="22" t="s">
        <v>2205</v>
      </c>
      <c r="E693" s="19" t="s">
        <v>54</v>
      </c>
      <c r="F693" s="19" t="s">
        <v>1778</v>
      </c>
      <c r="G693" s="19" t="s">
        <v>57</v>
      </c>
      <c r="H693" s="22" t="s">
        <v>365</v>
      </c>
      <c r="I693" s="25" t="s">
        <v>2206</v>
      </c>
      <c r="J693" s="19" t="s">
        <v>627</v>
      </c>
      <c r="K693" s="19" t="s">
        <v>66</v>
      </c>
      <c r="L693" s="22"/>
      <c r="M693" s="26"/>
      <c r="N693" s="26"/>
      <c r="O693" s="26"/>
      <c r="P693" s="26"/>
      <c r="Q693" s="26"/>
    </row>
    <row r="694" ht="15.75" hidden="1" customHeight="1">
      <c r="A694" s="31" t="s">
        <v>39</v>
      </c>
      <c r="B694" s="9" t="s">
        <v>2069</v>
      </c>
      <c r="C694" s="19" t="s">
        <v>1776</v>
      </c>
      <c r="D694" s="22" t="s">
        <v>2205</v>
      </c>
      <c r="E694" s="19" t="s">
        <v>54</v>
      </c>
      <c r="F694" s="19" t="s">
        <v>1129</v>
      </c>
      <c r="G694" s="19" t="s">
        <v>57</v>
      </c>
      <c r="H694" s="22" t="s">
        <v>365</v>
      </c>
      <c r="I694" s="25" t="s">
        <v>2207</v>
      </c>
      <c r="J694" s="19" t="s">
        <v>627</v>
      </c>
      <c r="K694" s="19" t="s">
        <v>66</v>
      </c>
      <c r="L694" s="22"/>
      <c r="M694" s="26"/>
      <c r="N694" s="26"/>
      <c r="O694" s="26"/>
      <c r="P694" s="26"/>
      <c r="Q694" s="26"/>
    </row>
    <row r="695" ht="15.75" hidden="1" customHeight="1">
      <c r="A695" s="31" t="s">
        <v>39</v>
      </c>
      <c r="B695" s="9" t="s">
        <v>2208</v>
      </c>
      <c r="C695" s="19" t="s">
        <v>2209</v>
      </c>
      <c r="D695" s="22" t="s">
        <v>2210</v>
      </c>
      <c r="E695" s="19" t="s">
        <v>54</v>
      </c>
      <c r="F695" s="19" t="s">
        <v>1243</v>
      </c>
      <c r="G695" s="19" t="s">
        <v>135</v>
      </c>
      <c r="H695" s="22" t="s">
        <v>155</v>
      </c>
      <c r="I695" s="25" t="s">
        <v>2211</v>
      </c>
      <c r="J695" s="19" t="s">
        <v>1445</v>
      </c>
      <c r="K695" s="19" t="s">
        <v>94</v>
      </c>
      <c r="L695" s="22"/>
      <c r="M695" s="26"/>
      <c r="N695" s="26"/>
      <c r="O695" s="26"/>
      <c r="P695" s="26"/>
      <c r="Q695" s="26"/>
    </row>
    <row r="696" ht="15.75" hidden="1" customHeight="1">
      <c r="A696" s="31" t="s">
        <v>39</v>
      </c>
      <c r="B696" s="9" t="s">
        <v>2208</v>
      </c>
      <c r="C696" s="19" t="s">
        <v>2212</v>
      </c>
      <c r="D696" s="22" t="s">
        <v>2213</v>
      </c>
      <c r="E696" s="19" t="s">
        <v>54</v>
      </c>
      <c r="F696" s="19" t="s">
        <v>1243</v>
      </c>
      <c r="G696" s="19" t="s">
        <v>135</v>
      </c>
      <c r="H696" s="22" t="s">
        <v>155</v>
      </c>
      <c r="I696" s="25" t="s">
        <v>2214</v>
      </c>
      <c r="J696" s="19"/>
      <c r="K696" s="19" t="s">
        <v>13</v>
      </c>
      <c r="L696" s="22" t="s">
        <v>890</v>
      </c>
      <c r="M696" s="26"/>
      <c r="N696" s="26"/>
      <c r="O696" s="26"/>
      <c r="P696" s="26"/>
      <c r="Q696" s="26"/>
    </row>
    <row r="697" ht="15.75" hidden="1" customHeight="1">
      <c r="A697" s="31" t="s">
        <v>39</v>
      </c>
      <c r="B697" s="9" t="s">
        <v>2208</v>
      </c>
      <c r="C697" s="19" t="s">
        <v>2215</v>
      </c>
      <c r="D697" s="22" t="s">
        <v>2216</v>
      </c>
      <c r="E697" s="19" t="s">
        <v>54</v>
      </c>
      <c r="F697" s="19" t="s">
        <v>2217</v>
      </c>
      <c r="G697" s="19" t="s">
        <v>135</v>
      </c>
      <c r="H697" s="22" t="s">
        <v>155</v>
      </c>
      <c r="I697" s="25" t="s">
        <v>2218</v>
      </c>
      <c r="J697" s="19" t="s">
        <v>1445</v>
      </c>
      <c r="K697" s="19" t="s">
        <v>94</v>
      </c>
      <c r="L697" s="22"/>
      <c r="M697" s="26"/>
      <c r="N697" s="26"/>
      <c r="O697" s="26"/>
      <c r="P697" s="26"/>
      <c r="Q697" s="26"/>
    </row>
    <row r="698" ht="15.75" hidden="1" customHeight="1">
      <c r="A698" s="31" t="s">
        <v>39</v>
      </c>
      <c r="B698" s="9" t="s">
        <v>2208</v>
      </c>
      <c r="C698" s="19" t="s">
        <v>2219</v>
      </c>
      <c r="D698" s="22" t="s">
        <v>2220</v>
      </c>
      <c r="E698" s="19" t="s">
        <v>54</v>
      </c>
      <c r="F698" s="19" t="s">
        <v>2221</v>
      </c>
      <c r="G698" s="19" t="s">
        <v>135</v>
      </c>
      <c r="H698" s="22" t="s">
        <v>155</v>
      </c>
      <c r="I698" s="25" t="s">
        <v>2222</v>
      </c>
      <c r="J698" s="19"/>
      <c r="K698" s="19" t="s">
        <v>74</v>
      </c>
      <c r="L698" s="22" t="s">
        <v>723</v>
      </c>
      <c r="M698" s="26"/>
      <c r="N698" s="26"/>
      <c r="O698" s="26"/>
      <c r="P698" s="26"/>
      <c r="Q698" s="26"/>
    </row>
    <row r="699" ht="15.75" hidden="1" customHeight="1">
      <c r="A699" s="31" t="s">
        <v>39</v>
      </c>
      <c r="B699" s="9" t="s">
        <v>2208</v>
      </c>
      <c r="C699" s="19" t="s">
        <v>2223</v>
      </c>
      <c r="D699" s="22" t="s">
        <v>1838</v>
      </c>
      <c r="E699" s="19" t="s">
        <v>54</v>
      </c>
      <c r="F699" s="19" t="s">
        <v>2224</v>
      </c>
      <c r="G699" s="19" t="s">
        <v>135</v>
      </c>
      <c r="H699" s="22" t="s">
        <v>155</v>
      </c>
      <c r="I699" s="25" t="s">
        <v>2225</v>
      </c>
      <c r="J699" s="19"/>
      <c r="K699" s="19" t="s">
        <v>74</v>
      </c>
      <c r="L699" s="22" t="s">
        <v>723</v>
      </c>
      <c r="M699" s="26"/>
      <c r="N699" s="26"/>
      <c r="O699" s="26"/>
      <c r="P699" s="26"/>
      <c r="Q699" s="26"/>
    </row>
    <row r="700" ht="15.75" hidden="1" customHeight="1">
      <c r="A700" s="31" t="s">
        <v>39</v>
      </c>
      <c r="B700" s="9" t="s">
        <v>2208</v>
      </c>
      <c r="C700" s="19" t="s">
        <v>2226</v>
      </c>
      <c r="D700" s="22" t="s">
        <v>2227</v>
      </c>
      <c r="E700" s="19" t="s">
        <v>116</v>
      </c>
      <c r="F700" s="19" t="s">
        <v>295</v>
      </c>
      <c r="G700" s="19" t="s">
        <v>57</v>
      </c>
      <c r="H700" s="22" t="s">
        <v>365</v>
      </c>
      <c r="I700" s="25" t="s">
        <v>2228</v>
      </c>
      <c r="J700" s="19" t="s">
        <v>982</v>
      </c>
      <c r="K700" s="19" t="s">
        <v>66</v>
      </c>
      <c r="L700" s="22"/>
      <c r="M700" s="26"/>
      <c r="N700" s="26"/>
      <c r="O700" s="26"/>
      <c r="P700" s="26"/>
      <c r="Q700" s="26"/>
    </row>
    <row r="701" ht="15.75" hidden="1" customHeight="1">
      <c r="A701" s="31" t="s">
        <v>39</v>
      </c>
      <c r="B701" s="9" t="s">
        <v>2208</v>
      </c>
      <c r="C701" s="19" t="s">
        <v>2229</v>
      </c>
      <c r="D701" s="22" t="s">
        <v>2230</v>
      </c>
      <c r="E701" s="19" t="s">
        <v>54</v>
      </c>
      <c r="F701" s="19" t="s">
        <v>2231</v>
      </c>
      <c r="G701" s="19" t="s">
        <v>135</v>
      </c>
      <c r="H701" s="22" t="s">
        <v>155</v>
      </c>
      <c r="I701" s="25" t="s">
        <v>2232</v>
      </c>
      <c r="J701" s="19" t="s">
        <v>811</v>
      </c>
      <c r="K701" s="19" t="s">
        <v>94</v>
      </c>
      <c r="L701" s="22" t="s">
        <v>2233</v>
      </c>
      <c r="M701" s="26"/>
      <c r="N701" s="26"/>
      <c r="O701" s="26"/>
      <c r="P701" s="26"/>
      <c r="Q701" s="26"/>
    </row>
    <row r="702" ht="15.75" hidden="1" customHeight="1">
      <c r="A702" s="31" t="s">
        <v>39</v>
      </c>
      <c r="B702" s="9" t="s">
        <v>2208</v>
      </c>
      <c r="C702" s="19" t="s">
        <v>2229</v>
      </c>
      <c r="D702" s="22" t="s">
        <v>2234</v>
      </c>
      <c r="E702" s="19" t="s">
        <v>54</v>
      </c>
      <c r="F702" s="19" t="s">
        <v>2231</v>
      </c>
      <c r="G702" s="19" t="s">
        <v>135</v>
      </c>
      <c r="H702" s="22" t="s">
        <v>155</v>
      </c>
      <c r="I702" s="25" t="s">
        <v>2232</v>
      </c>
      <c r="J702" s="19" t="s">
        <v>811</v>
      </c>
      <c r="K702" s="19" t="s">
        <v>94</v>
      </c>
      <c r="L702" s="22"/>
      <c r="M702" s="26"/>
      <c r="N702" s="26"/>
      <c r="O702" s="26"/>
      <c r="P702" s="26"/>
      <c r="Q702" s="26"/>
    </row>
    <row r="703" ht="15.75" hidden="1" customHeight="1">
      <c r="A703" s="31" t="s">
        <v>39</v>
      </c>
      <c r="B703" s="9" t="s">
        <v>2208</v>
      </c>
      <c r="C703" s="19" t="s">
        <v>2235</v>
      </c>
      <c r="D703" s="22" t="s">
        <v>2236</v>
      </c>
      <c r="E703" s="19" t="s">
        <v>54</v>
      </c>
      <c r="F703" s="19" t="s">
        <v>2237</v>
      </c>
      <c r="G703" s="19" t="s">
        <v>135</v>
      </c>
      <c r="H703" s="22" t="s">
        <v>155</v>
      </c>
      <c r="I703" s="25" t="s">
        <v>2238</v>
      </c>
      <c r="J703" s="19"/>
      <c r="K703" s="19" t="s">
        <v>74</v>
      </c>
      <c r="L703" s="22" t="s">
        <v>723</v>
      </c>
      <c r="M703" s="26"/>
      <c r="N703" s="26"/>
      <c r="O703" s="26"/>
      <c r="P703" s="26"/>
      <c r="Q703" s="26"/>
    </row>
    <row r="704" ht="15.75" hidden="1" customHeight="1">
      <c r="A704" s="31" t="s">
        <v>39</v>
      </c>
      <c r="B704" s="9" t="s">
        <v>2208</v>
      </c>
      <c r="C704" s="19" t="s">
        <v>2239</v>
      </c>
      <c r="D704" s="22" t="s">
        <v>2240</v>
      </c>
      <c r="E704" s="19" t="s">
        <v>54</v>
      </c>
      <c r="F704" s="19" t="s">
        <v>55</v>
      </c>
      <c r="G704" s="19" t="s">
        <v>135</v>
      </c>
      <c r="H704" s="22" t="s">
        <v>155</v>
      </c>
      <c r="I704" s="25" t="s">
        <v>2241</v>
      </c>
      <c r="J704" s="19"/>
      <c r="K704" s="19" t="s">
        <v>13</v>
      </c>
      <c r="L704" s="22" t="s">
        <v>2242</v>
      </c>
      <c r="M704" s="26"/>
      <c r="N704" s="26"/>
      <c r="O704" s="26"/>
      <c r="P704" s="26"/>
      <c r="Q704" s="26"/>
    </row>
    <row r="705" ht="15.75" hidden="1" customHeight="1">
      <c r="A705" s="31" t="s">
        <v>39</v>
      </c>
      <c r="B705" s="9" t="s">
        <v>2208</v>
      </c>
      <c r="C705" s="19" t="s">
        <v>689</v>
      </c>
      <c r="D705" s="22" t="s">
        <v>2243</v>
      </c>
      <c r="E705" s="19" t="s">
        <v>115</v>
      </c>
      <c r="F705" s="19" t="s">
        <v>135</v>
      </c>
      <c r="G705" s="19" t="s">
        <v>135</v>
      </c>
      <c r="H705" s="24" t="s">
        <v>59</v>
      </c>
      <c r="I705" s="25" t="s">
        <v>2244</v>
      </c>
      <c r="J705" s="19"/>
      <c r="K705" s="19" t="s">
        <v>100</v>
      </c>
      <c r="L705" s="22" t="s">
        <v>2245</v>
      </c>
      <c r="M705" s="26"/>
      <c r="N705" s="26"/>
      <c r="O705" s="26"/>
      <c r="P705" s="26"/>
      <c r="Q705" s="26"/>
    </row>
    <row r="706" ht="15.75" customHeight="1">
      <c r="A706" s="31" t="s">
        <v>39</v>
      </c>
      <c r="B706" s="9" t="s">
        <v>2208</v>
      </c>
      <c r="C706" s="19" t="s">
        <v>2246</v>
      </c>
      <c r="D706" s="22" t="s">
        <v>2247</v>
      </c>
      <c r="E706" s="19" t="s">
        <v>124</v>
      </c>
      <c r="F706" s="19" t="s">
        <v>631</v>
      </c>
      <c r="G706" s="19" t="s">
        <v>90</v>
      </c>
      <c r="H706" s="22" t="s">
        <v>155</v>
      </c>
      <c r="I706" s="25" t="s">
        <v>2248</v>
      </c>
      <c r="J706" s="19"/>
      <c r="K706" s="19" t="s">
        <v>112</v>
      </c>
      <c r="L706" s="22"/>
      <c r="M706" s="26"/>
      <c r="N706" s="26"/>
      <c r="O706" s="26"/>
      <c r="P706" s="26"/>
      <c r="Q706" s="26"/>
    </row>
    <row r="707" ht="15.75" hidden="1" customHeight="1">
      <c r="A707" s="31" t="s">
        <v>39</v>
      </c>
      <c r="B707" s="9" t="s">
        <v>2208</v>
      </c>
      <c r="C707" s="19" t="s">
        <v>2249</v>
      </c>
      <c r="D707" s="22" t="s">
        <v>1522</v>
      </c>
      <c r="E707" s="19" t="s">
        <v>54</v>
      </c>
      <c r="F707" s="19" t="s">
        <v>508</v>
      </c>
      <c r="G707" s="19" t="s">
        <v>135</v>
      </c>
      <c r="H707" s="22" t="s">
        <v>155</v>
      </c>
      <c r="I707" s="25" t="s">
        <v>2250</v>
      </c>
      <c r="J707" s="19" t="s">
        <v>140</v>
      </c>
      <c r="K707" s="19" t="s">
        <v>13</v>
      </c>
      <c r="L707" s="22" t="s">
        <v>890</v>
      </c>
      <c r="M707" s="26"/>
      <c r="N707" s="26"/>
      <c r="O707" s="26"/>
      <c r="P707" s="26"/>
      <c r="Q707" s="26"/>
    </row>
    <row r="708" ht="15.75" hidden="1" customHeight="1">
      <c r="A708" s="31" t="s">
        <v>39</v>
      </c>
      <c r="B708" s="9" t="s">
        <v>2208</v>
      </c>
      <c r="C708" s="19" t="s">
        <v>2251</v>
      </c>
      <c r="D708" s="22" t="s">
        <v>2252</v>
      </c>
      <c r="E708" s="19" t="s">
        <v>54</v>
      </c>
      <c r="F708" s="19" t="s">
        <v>2253</v>
      </c>
      <c r="G708" s="19" t="s">
        <v>135</v>
      </c>
      <c r="H708" s="22" t="s">
        <v>155</v>
      </c>
      <c r="I708" s="25" t="s">
        <v>2254</v>
      </c>
      <c r="J708" s="19"/>
      <c r="K708" s="19" t="s">
        <v>74</v>
      </c>
      <c r="L708" s="22" t="s">
        <v>723</v>
      </c>
      <c r="M708" s="26"/>
      <c r="N708" s="26"/>
      <c r="O708" s="26"/>
      <c r="P708" s="26"/>
      <c r="Q708" s="26"/>
    </row>
    <row r="709" ht="15.75" hidden="1" customHeight="1">
      <c r="A709" s="31" t="s">
        <v>39</v>
      </c>
      <c r="B709" s="9" t="s">
        <v>2208</v>
      </c>
      <c r="C709" s="19" t="s">
        <v>2255</v>
      </c>
      <c r="D709" s="22" t="s">
        <v>1362</v>
      </c>
      <c r="E709" s="19" t="s">
        <v>54</v>
      </c>
      <c r="F709" s="19" t="s">
        <v>421</v>
      </c>
      <c r="G709" s="19" t="s">
        <v>135</v>
      </c>
      <c r="H709" s="22" t="s">
        <v>155</v>
      </c>
      <c r="I709" s="25" t="s">
        <v>2256</v>
      </c>
      <c r="J709" s="19" t="s">
        <v>2193</v>
      </c>
      <c r="K709" s="19" t="s">
        <v>94</v>
      </c>
      <c r="L709" s="22" t="s">
        <v>2257</v>
      </c>
      <c r="M709" s="26"/>
      <c r="N709" s="26"/>
      <c r="O709" s="26"/>
      <c r="P709" s="26"/>
      <c r="Q709" s="26"/>
    </row>
    <row r="710" ht="15.75" hidden="1" customHeight="1">
      <c r="A710" s="31" t="s">
        <v>39</v>
      </c>
      <c r="B710" s="9" t="s">
        <v>2208</v>
      </c>
      <c r="C710" s="19" t="s">
        <v>2258</v>
      </c>
      <c r="D710" s="22" t="s">
        <v>2259</v>
      </c>
      <c r="E710" s="19" t="s">
        <v>54</v>
      </c>
      <c r="F710" s="19" t="s">
        <v>631</v>
      </c>
      <c r="G710" s="19" t="s">
        <v>135</v>
      </c>
      <c r="H710" s="22" t="s">
        <v>155</v>
      </c>
      <c r="I710" s="25" t="s">
        <v>2260</v>
      </c>
      <c r="J710" s="19"/>
      <c r="K710" s="19" t="s">
        <v>13</v>
      </c>
      <c r="L710" s="22" t="s">
        <v>698</v>
      </c>
      <c r="M710" s="26"/>
      <c r="N710" s="26"/>
      <c r="O710" s="26"/>
      <c r="P710" s="26"/>
      <c r="Q710" s="26"/>
    </row>
    <row r="711" ht="15.75" hidden="1" customHeight="1">
      <c r="A711" s="31" t="s">
        <v>39</v>
      </c>
      <c r="B711" s="9" t="s">
        <v>2208</v>
      </c>
      <c r="C711" s="19" t="s">
        <v>2261</v>
      </c>
      <c r="D711" s="22" t="s">
        <v>656</v>
      </c>
      <c r="E711" s="19" t="s">
        <v>54</v>
      </c>
      <c r="F711" s="19" t="s">
        <v>631</v>
      </c>
      <c r="G711" s="19" t="s">
        <v>135</v>
      </c>
      <c r="H711" s="22" t="s">
        <v>155</v>
      </c>
      <c r="I711" s="25" t="s">
        <v>2262</v>
      </c>
      <c r="J711" s="19" t="s">
        <v>535</v>
      </c>
      <c r="K711" s="19" t="s">
        <v>94</v>
      </c>
      <c r="L711" s="22" t="s">
        <v>1212</v>
      </c>
      <c r="M711" s="26"/>
      <c r="N711" s="26"/>
      <c r="O711" s="26"/>
      <c r="P711" s="26"/>
      <c r="Q711" s="26"/>
    </row>
    <row r="712" ht="15.75" hidden="1" customHeight="1">
      <c r="A712" s="31" t="s">
        <v>39</v>
      </c>
      <c r="B712" s="9" t="s">
        <v>2208</v>
      </c>
      <c r="C712" s="19" t="s">
        <v>2263</v>
      </c>
      <c r="D712" s="22" t="s">
        <v>2264</v>
      </c>
      <c r="E712" s="19" t="s">
        <v>54</v>
      </c>
      <c r="F712" s="19" t="s">
        <v>705</v>
      </c>
      <c r="G712" s="19" t="s">
        <v>135</v>
      </c>
      <c r="H712" s="22" t="s">
        <v>155</v>
      </c>
      <c r="I712" s="25" t="s">
        <v>2265</v>
      </c>
      <c r="J712" s="19"/>
      <c r="K712" s="19" t="s">
        <v>13</v>
      </c>
      <c r="L712" s="22" t="s">
        <v>2266</v>
      </c>
      <c r="M712" s="26"/>
      <c r="N712" s="26"/>
      <c r="O712" s="26"/>
      <c r="P712" s="26"/>
      <c r="Q712" s="26"/>
    </row>
    <row r="713" ht="15.75" hidden="1" customHeight="1">
      <c r="A713" s="31" t="s">
        <v>39</v>
      </c>
      <c r="B713" s="9" t="s">
        <v>2208</v>
      </c>
      <c r="C713" s="19" t="s">
        <v>2267</v>
      </c>
      <c r="D713" s="22" t="s">
        <v>2268</v>
      </c>
      <c r="E713" s="19" t="s">
        <v>54</v>
      </c>
      <c r="F713" s="19" t="s">
        <v>1220</v>
      </c>
      <c r="G713" s="19" t="s">
        <v>135</v>
      </c>
      <c r="H713" s="22" t="s">
        <v>155</v>
      </c>
      <c r="I713" s="25" t="s">
        <v>2269</v>
      </c>
      <c r="J713" s="19"/>
      <c r="K713" s="19" t="s">
        <v>74</v>
      </c>
      <c r="L713" s="22" t="s">
        <v>723</v>
      </c>
      <c r="M713" s="26"/>
      <c r="N713" s="26"/>
      <c r="O713" s="26"/>
      <c r="P713" s="26"/>
      <c r="Q713" s="26"/>
    </row>
    <row r="714" ht="15.75" hidden="1" customHeight="1">
      <c r="A714" s="31" t="s">
        <v>39</v>
      </c>
      <c r="B714" s="9" t="s">
        <v>2208</v>
      </c>
      <c r="C714" s="19" t="s">
        <v>1915</v>
      </c>
      <c r="D714" s="22" t="s">
        <v>334</v>
      </c>
      <c r="E714" s="19" t="s">
        <v>54</v>
      </c>
      <c r="F714" s="19" t="s">
        <v>1167</v>
      </c>
      <c r="G714" s="19" t="s">
        <v>135</v>
      </c>
      <c r="H714" s="22" t="s">
        <v>155</v>
      </c>
      <c r="I714" s="25" t="s">
        <v>2270</v>
      </c>
      <c r="J714" s="19"/>
      <c r="K714" s="19" t="s">
        <v>13</v>
      </c>
      <c r="L714" s="22" t="s">
        <v>2271</v>
      </c>
      <c r="M714" s="26"/>
      <c r="N714" s="26"/>
      <c r="O714" s="26"/>
      <c r="P714" s="26"/>
      <c r="Q714" s="26"/>
    </row>
    <row r="715" ht="15.75" hidden="1" customHeight="1">
      <c r="A715" s="31" t="s">
        <v>39</v>
      </c>
      <c r="B715" s="9" t="s">
        <v>2208</v>
      </c>
      <c r="C715" s="19" t="s">
        <v>2272</v>
      </c>
      <c r="D715" s="22" t="s">
        <v>2273</v>
      </c>
      <c r="E715" s="19" t="s">
        <v>54</v>
      </c>
      <c r="F715" s="19" t="s">
        <v>2201</v>
      </c>
      <c r="G715" s="19" t="s">
        <v>135</v>
      </c>
      <c r="H715" s="22" t="s">
        <v>155</v>
      </c>
      <c r="I715" s="25" t="s">
        <v>2274</v>
      </c>
      <c r="J715" s="19"/>
      <c r="K715" s="19" t="s">
        <v>74</v>
      </c>
      <c r="L715" s="22" t="s">
        <v>723</v>
      </c>
      <c r="M715" s="26"/>
      <c r="N715" s="26"/>
      <c r="O715" s="26"/>
      <c r="P715" s="26"/>
      <c r="Q715" s="26"/>
    </row>
    <row r="716" ht="15.75" hidden="1" customHeight="1">
      <c r="A716" s="31" t="s">
        <v>39</v>
      </c>
      <c r="B716" s="9" t="s">
        <v>2208</v>
      </c>
      <c r="C716" s="19" t="s">
        <v>2275</v>
      </c>
      <c r="D716" s="22" t="s">
        <v>2276</v>
      </c>
      <c r="E716" s="19" t="s">
        <v>54</v>
      </c>
      <c r="F716" s="19" t="s">
        <v>1451</v>
      </c>
      <c r="G716" s="19" t="s">
        <v>135</v>
      </c>
      <c r="H716" s="22" t="s">
        <v>155</v>
      </c>
      <c r="I716" s="25" t="s">
        <v>2277</v>
      </c>
      <c r="J716" s="19"/>
      <c r="K716" s="19" t="s">
        <v>13</v>
      </c>
      <c r="L716" s="22" t="s">
        <v>2278</v>
      </c>
      <c r="M716" s="26"/>
      <c r="N716" s="26"/>
      <c r="O716" s="26"/>
      <c r="P716" s="26"/>
      <c r="Q716" s="26"/>
    </row>
    <row r="717" ht="15.75" hidden="1" customHeight="1">
      <c r="A717" s="31" t="s">
        <v>39</v>
      </c>
      <c r="B717" s="9" t="s">
        <v>2208</v>
      </c>
      <c r="C717" s="19" t="s">
        <v>2279</v>
      </c>
      <c r="D717" s="22" t="s">
        <v>2280</v>
      </c>
      <c r="E717" s="19" t="s">
        <v>54</v>
      </c>
      <c r="F717" s="19" t="s">
        <v>421</v>
      </c>
      <c r="G717" s="19" t="s">
        <v>135</v>
      </c>
      <c r="H717" s="22" t="s">
        <v>155</v>
      </c>
      <c r="I717" s="25" t="s">
        <v>2281</v>
      </c>
      <c r="J717" s="19" t="s">
        <v>561</v>
      </c>
      <c r="K717" s="19" t="s">
        <v>94</v>
      </c>
      <c r="L717" s="22" t="s">
        <v>2282</v>
      </c>
      <c r="M717" s="26"/>
      <c r="N717" s="26"/>
      <c r="O717" s="26"/>
      <c r="P717" s="26"/>
      <c r="Q717" s="26"/>
    </row>
    <row r="718" ht="15.75" customHeight="1">
      <c r="A718" s="31" t="s">
        <v>39</v>
      </c>
      <c r="B718" s="9" t="s">
        <v>2208</v>
      </c>
      <c r="C718" s="19" t="s">
        <v>2283</v>
      </c>
      <c r="D718" s="22" t="s">
        <v>2284</v>
      </c>
      <c r="E718" s="19" t="s">
        <v>124</v>
      </c>
      <c r="F718" s="19" t="s">
        <v>1778</v>
      </c>
      <c r="G718" s="19" t="s">
        <v>90</v>
      </c>
      <c r="H718" s="22" t="s">
        <v>155</v>
      </c>
      <c r="I718" s="25" t="s">
        <v>2285</v>
      </c>
      <c r="J718" s="19" t="s">
        <v>1240</v>
      </c>
      <c r="K718" s="19" t="s">
        <v>78</v>
      </c>
      <c r="L718" s="22"/>
      <c r="M718" s="26"/>
      <c r="N718" s="26"/>
      <c r="O718" s="26"/>
      <c r="P718" s="26"/>
      <c r="Q718" s="26"/>
    </row>
    <row r="719" ht="15.75" hidden="1" customHeight="1">
      <c r="A719" s="31" t="s">
        <v>39</v>
      </c>
      <c r="B719" s="9" t="s">
        <v>2208</v>
      </c>
      <c r="C719" s="19" t="s">
        <v>1728</v>
      </c>
      <c r="D719" s="22" t="s">
        <v>2286</v>
      </c>
      <c r="E719" s="19" t="s">
        <v>54</v>
      </c>
      <c r="F719" s="19" t="s">
        <v>421</v>
      </c>
      <c r="G719" s="19" t="s">
        <v>135</v>
      </c>
      <c r="H719" s="22" t="s">
        <v>155</v>
      </c>
      <c r="I719" s="25" t="s">
        <v>1730</v>
      </c>
      <c r="J719" s="19"/>
      <c r="K719" s="19" t="s">
        <v>13</v>
      </c>
      <c r="L719" s="22" t="s">
        <v>698</v>
      </c>
      <c r="M719" s="26"/>
      <c r="N719" s="26"/>
      <c r="O719" s="26"/>
      <c r="P719" s="26"/>
      <c r="Q719" s="26"/>
    </row>
    <row r="720" ht="15.75" hidden="1" customHeight="1">
      <c r="A720" s="31" t="s">
        <v>39</v>
      </c>
      <c r="B720" s="9" t="s">
        <v>2208</v>
      </c>
      <c r="C720" s="19" t="s">
        <v>2287</v>
      </c>
      <c r="D720" s="22" t="s">
        <v>2288</v>
      </c>
      <c r="E720" s="19" t="s">
        <v>54</v>
      </c>
      <c r="F720" s="19" t="s">
        <v>2224</v>
      </c>
      <c r="G720" s="19" t="s">
        <v>135</v>
      </c>
      <c r="H720" s="22" t="s">
        <v>155</v>
      </c>
      <c r="I720" s="25" t="s">
        <v>2289</v>
      </c>
      <c r="J720" s="19"/>
      <c r="K720" s="19" t="s">
        <v>74</v>
      </c>
      <c r="L720" s="22" t="s">
        <v>723</v>
      </c>
      <c r="M720" s="26"/>
      <c r="N720" s="26"/>
      <c r="O720" s="26"/>
      <c r="P720" s="26"/>
      <c r="Q720" s="26"/>
    </row>
    <row r="721" ht="15.75" hidden="1" customHeight="1">
      <c r="A721" s="31" t="s">
        <v>39</v>
      </c>
      <c r="B721" s="9" t="s">
        <v>2208</v>
      </c>
      <c r="C721" s="19" t="s">
        <v>2290</v>
      </c>
      <c r="D721" s="22" t="s">
        <v>2291</v>
      </c>
      <c r="E721" s="19" t="s">
        <v>54</v>
      </c>
      <c r="F721" s="19" t="s">
        <v>241</v>
      </c>
      <c r="G721" s="19" t="s">
        <v>135</v>
      </c>
      <c r="H721" s="22" t="s">
        <v>155</v>
      </c>
      <c r="I721" s="25" t="s">
        <v>2292</v>
      </c>
      <c r="J721" s="19"/>
      <c r="K721" s="19" t="s">
        <v>74</v>
      </c>
      <c r="L721" s="22" t="s">
        <v>723</v>
      </c>
      <c r="M721" s="26"/>
      <c r="N721" s="26"/>
      <c r="O721" s="26"/>
      <c r="P721" s="26"/>
      <c r="Q721" s="26"/>
    </row>
    <row r="722" ht="15.75" hidden="1" customHeight="1">
      <c r="A722" s="31" t="s">
        <v>39</v>
      </c>
      <c r="B722" s="9" t="s">
        <v>2208</v>
      </c>
      <c r="C722" s="19" t="s">
        <v>172</v>
      </c>
      <c r="D722" s="22" t="s">
        <v>2293</v>
      </c>
      <c r="E722" s="19" t="s">
        <v>115</v>
      </c>
      <c r="F722" s="19" t="s">
        <v>421</v>
      </c>
      <c r="G722" s="19" t="s">
        <v>135</v>
      </c>
      <c r="H722" s="24" t="s">
        <v>59</v>
      </c>
      <c r="I722" s="25" t="s">
        <v>2294</v>
      </c>
      <c r="J722" s="19" t="s">
        <v>140</v>
      </c>
      <c r="K722" s="19" t="s">
        <v>13</v>
      </c>
      <c r="L722" s="22"/>
      <c r="M722" s="26"/>
      <c r="N722" s="26"/>
      <c r="O722" s="26"/>
      <c r="P722" s="26"/>
      <c r="Q722" s="26"/>
    </row>
    <row r="723" ht="15.75" hidden="1" customHeight="1">
      <c r="A723" s="31" t="s">
        <v>39</v>
      </c>
      <c r="B723" s="9" t="s">
        <v>2208</v>
      </c>
      <c r="C723" s="19" t="s">
        <v>84</v>
      </c>
      <c r="D723" s="22" t="s">
        <v>2295</v>
      </c>
      <c r="E723" s="19" t="s">
        <v>115</v>
      </c>
      <c r="F723" s="19" t="s">
        <v>89</v>
      </c>
      <c r="G723" s="19" t="s">
        <v>135</v>
      </c>
      <c r="H723" s="24" t="s">
        <v>59</v>
      </c>
      <c r="I723" s="25" t="s">
        <v>2296</v>
      </c>
      <c r="J723" s="19" t="s">
        <v>2297</v>
      </c>
      <c r="K723" s="19" t="s">
        <v>40</v>
      </c>
      <c r="L723" s="22"/>
      <c r="M723" s="26"/>
      <c r="N723" s="26"/>
      <c r="O723" s="26"/>
      <c r="P723" s="26"/>
      <c r="Q723" s="26"/>
    </row>
    <row r="724" ht="15.75" hidden="1" customHeight="1">
      <c r="A724" s="31" t="s">
        <v>39</v>
      </c>
      <c r="B724" s="9" t="s">
        <v>2208</v>
      </c>
      <c r="C724" s="19" t="s">
        <v>2298</v>
      </c>
      <c r="D724" s="22" t="s">
        <v>2299</v>
      </c>
      <c r="E724" s="19" t="s">
        <v>54</v>
      </c>
      <c r="F724" s="19" t="s">
        <v>2300</v>
      </c>
      <c r="G724" s="19" t="s">
        <v>135</v>
      </c>
      <c r="H724" s="22" t="s">
        <v>155</v>
      </c>
      <c r="I724" s="25" t="s">
        <v>2301</v>
      </c>
      <c r="J724" s="19"/>
      <c r="K724" s="19" t="s">
        <v>74</v>
      </c>
      <c r="L724" s="22" t="s">
        <v>723</v>
      </c>
      <c r="M724" s="26"/>
      <c r="N724" s="26"/>
      <c r="O724" s="26"/>
      <c r="P724" s="26"/>
      <c r="Q724" s="26"/>
    </row>
    <row r="725" ht="15.75" hidden="1" customHeight="1">
      <c r="A725" s="31" t="s">
        <v>39</v>
      </c>
      <c r="B725" s="9" t="s">
        <v>2208</v>
      </c>
      <c r="C725" s="19" t="s">
        <v>2302</v>
      </c>
      <c r="D725" s="22" t="s">
        <v>2303</v>
      </c>
      <c r="E725" s="19" t="s">
        <v>54</v>
      </c>
      <c r="F725" s="19" t="s">
        <v>1220</v>
      </c>
      <c r="G725" s="19" t="s">
        <v>135</v>
      </c>
      <c r="H725" s="22" t="s">
        <v>155</v>
      </c>
      <c r="I725" s="25" t="s">
        <v>2304</v>
      </c>
      <c r="J725" s="19"/>
      <c r="K725" s="19" t="s">
        <v>74</v>
      </c>
      <c r="L725" s="22" t="s">
        <v>723</v>
      </c>
      <c r="M725" s="26"/>
      <c r="N725" s="26"/>
      <c r="O725" s="26"/>
      <c r="P725" s="26"/>
      <c r="Q725" s="26"/>
    </row>
    <row r="726" ht="15.75" customHeight="1">
      <c r="A726" s="31" t="s">
        <v>39</v>
      </c>
      <c r="B726" s="9" t="s">
        <v>2208</v>
      </c>
      <c r="C726" s="19" t="s">
        <v>2305</v>
      </c>
      <c r="D726" s="22" t="s">
        <v>2306</v>
      </c>
      <c r="E726" s="19" t="s">
        <v>124</v>
      </c>
      <c r="F726" s="19" t="s">
        <v>2307</v>
      </c>
      <c r="G726" s="19" t="s">
        <v>90</v>
      </c>
      <c r="H726" s="22" t="s">
        <v>155</v>
      </c>
      <c r="I726" s="25" t="s">
        <v>2308</v>
      </c>
      <c r="J726" s="19" t="s">
        <v>456</v>
      </c>
      <c r="K726" s="19" t="s">
        <v>114</v>
      </c>
      <c r="L726" s="22"/>
      <c r="M726" s="26"/>
      <c r="N726" s="26"/>
      <c r="O726" s="26"/>
      <c r="P726" s="26"/>
      <c r="Q726" s="26"/>
    </row>
    <row r="727" ht="15.75" hidden="1" customHeight="1">
      <c r="A727" s="31" t="s">
        <v>39</v>
      </c>
      <c r="B727" s="9" t="s">
        <v>2208</v>
      </c>
      <c r="C727" s="19" t="s">
        <v>2309</v>
      </c>
      <c r="D727" s="22" t="s">
        <v>2310</v>
      </c>
      <c r="E727" s="19" t="s">
        <v>54</v>
      </c>
      <c r="F727" s="19" t="s">
        <v>631</v>
      </c>
      <c r="G727" s="19" t="s">
        <v>135</v>
      </c>
      <c r="H727" s="22" t="s">
        <v>155</v>
      </c>
      <c r="I727" s="25" t="s">
        <v>2311</v>
      </c>
      <c r="J727" s="19"/>
      <c r="K727" s="19" t="s">
        <v>13</v>
      </c>
      <c r="L727" s="22" t="s">
        <v>698</v>
      </c>
      <c r="M727" s="26"/>
      <c r="N727" s="26"/>
      <c r="O727" s="26"/>
      <c r="P727" s="26"/>
      <c r="Q727" s="26"/>
    </row>
    <row r="728" ht="15.75" hidden="1" customHeight="1">
      <c r="A728" s="31" t="s">
        <v>39</v>
      </c>
      <c r="B728" s="9" t="s">
        <v>2312</v>
      </c>
      <c r="C728" s="19" t="s">
        <v>2313</v>
      </c>
      <c r="D728" s="22" t="s">
        <v>2314</v>
      </c>
      <c r="E728" s="19" t="s">
        <v>116</v>
      </c>
      <c r="F728" s="19" t="s">
        <v>335</v>
      </c>
      <c r="G728" s="19" t="s">
        <v>142</v>
      </c>
      <c r="H728" s="22" t="s">
        <v>365</v>
      </c>
      <c r="I728" s="25" t="s">
        <v>2315</v>
      </c>
      <c r="J728" s="19"/>
      <c r="K728" s="19" t="s">
        <v>137</v>
      </c>
      <c r="L728" s="22" t="s">
        <v>2316</v>
      </c>
      <c r="M728" s="26"/>
      <c r="N728" s="26"/>
      <c r="O728" s="26"/>
      <c r="P728" s="26"/>
      <c r="Q728" s="26"/>
    </row>
    <row r="729" ht="15.75" hidden="1" customHeight="1">
      <c r="A729" s="31" t="s">
        <v>39</v>
      </c>
      <c r="B729" s="9" t="s">
        <v>2312</v>
      </c>
      <c r="C729" s="19" t="s">
        <v>2317</v>
      </c>
      <c r="D729" s="22" t="s">
        <v>493</v>
      </c>
      <c r="E729" s="19" t="s">
        <v>116</v>
      </c>
      <c r="F729" s="19" t="s">
        <v>335</v>
      </c>
      <c r="G729" s="19" t="s">
        <v>135</v>
      </c>
      <c r="H729" s="22" t="s">
        <v>365</v>
      </c>
      <c r="I729" s="25" t="s">
        <v>2318</v>
      </c>
      <c r="J729" s="19"/>
      <c r="K729" s="19" t="s">
        <v>13</v>
      </c>
      <c r="L729" s="22"/>
      <c r="M729" s="26"/>
      <c r="N729" s="26"/>
      <c r="O729" s="26"/>
      <c r="P729" s="26"/>
      <c r="Q729" s="26"/>
    </row>
    <row r="730" ht="15.75" hidden="1" customHeight="1">
      <c r="A730" s="31" t="s">
        <v>39</v>
      </c>
      <c r="B730" s="9" t="s">
        <v>2312</v>
      </c>
      <c r="C730" s="19" t="s">
        <v>2319</v>
      </c>
      <c r="D730" s="22" t="s">
        <v>2320</v>
      </c>
      <c r="E730" s="19" t="s">
        <v>116</v>
      </c>
      <c r="F730" s="19" t="s">
        <v>295</v>
      </c>
      <c r="G730" s="19" t="s">
        <v>135</v>
      </c>
      <c r="H730" s="22" t="s">
        <v>155</v>
      </c>
      <c r="I730" s="25" t="s">
        <v>2321</v>
      </c>
      <c r="J730" s="19" t="s">
        <v>273</v>
      </c>
      <c r="K730" s="19" t="s">
        <v>94</v>
      </c>
      <c r="L730" s="22" t="s">
        <v>2322</v>
      </c>
      <c r="M730" s="26"/>
      <c r="N730" s="26"/>
      <c r="O730" s="26"/>
      <c r="P730" s="26"/>
      <c r="Q730" s="26"/>
    </row>
    <row r="731" ht="15.75" hidden="1" customHeight="1">
      <c r="A731" s="31" t="s">
        <v>39</v>
      </c>
      <c r="B731" s="9" t="s">
        <v>2312</v>
      </c>
      <c r="C731" s="19" t="s">
        <v>2229</v>
      </c>
      <c r="D731" s="22" t="s">
        <v>1852</v>
      </c>
      <c r="E731" s="19" t="s">
        <v>54</v>
      </c>
      <c r="F731" s="19" t="s">
        <v>295</v>
      </c>
      <c r="G731" s="19" t="s">
        <v>135</v>
      </c>
      <c r="H731" s="22" t="s">
        <v>365</v>
      </c>
      <c r="I731" s="25" t="s">
        <v>2232</v>
      </c>
      <c r="J731" s="19"/>
      <c r="K731" s="19" t="s">
        <v>40</v>
      </c>
      <c r="L731" s="22" t="s">
        <v>2323</v>
      </c>
      <c r="M731" s="26"/>
      <c r="N731" s="26"/>
      <c r="O731" s="26"/>
      <c r="P731" s="26"/>
      <c r="Q731" s="26"/>
    </row>
    <row r="732" ht="15.75" hidden="1" customHeight="1">
      <c r="A732" s="31" t="s">
        <v>39</v>
      </c>
      <c r="B732" s="9" t="s">
        <v>2312</v>
      </c>
      <c r="C732" s="19" t="s">
        <v>2229</v>
      </c>
      <c r="D732" s="22" t="s">
        <v>2324</v>
      </c>
      <c r="E732" s="19" t="s">
        <v>54</v>
      </c>
      <c r="F732" s="19" t="s">
        <v>295</v>
      </c>
      <c r="G732" s="19" t="s">
        <v>135</v>
      </c>
      <c r="H732" s="22" t="s">
        <v>365</v>
      </c>
      <c r="I732" s="25" t="s">
        <v>2232</v>
      </c>
      <c r="J732" s="19" t="s">
        <v>1096</v>
      </c>
      <c r="K732" s="19" t="s">
        <v>40</v>
      </c>
      <c r="L732" s="22"/>
      <c r="M732" s="26"/>
      <c r="N732" s="26"/>
      <c r="O732" s="26"/>
      <c r="P732" s="26"/>
      <c r="Q732" s="26"/>
    </row>
    <row r="733" ht="15.75" hidden="1" customHeight="1">
      <c r="A733" s="31" t="s">
        <v>39</v>
      </c>
      <c r="B733" s="9" t="s">
        <v>2312</v>
      </c>
      <c r="C733" s="19" t="s">
        <v>1851</v>
      </c>
      <c r="D733" s="22" t="s">
        <v>2325</v>
      </c>
      <c r="E733" s="19" t="s">
        <v>54</v>
      </c>
      <c r="F733" s="19" t="s">
        <v>295</v>
      </c>
      <c r="G733" s="19" t="s">
        <v>135</v>
      </c>
      <c r="H733" s="22" t="s">
        <v>365</v>
      </c>
      <c r="I733" s="25" t="s">
        <v>1853</v>
      </c>
      <c r="J733" s="19"/>
      <c r="K733" s="19" t="s">
        <v>13</v>
      </c>
      <c r="L733" s="22" t="s">
        <v>1810</v>
      </c>
      <c r="M733" s="26"/>
      <c r="N733" s="26"/>
      <c r="O733" s="26"/>
      <c r="P733" s="26"/>
      <c r="Q733" s="26"/>
    </row>
    <row r="734" ht="15.75" hidden="1" customHeight="1">
      <c r="A734" s="31" t="s">
        <v>39</v>
      </c>
      <c r="B734" s="9" t="s">
        <v>2312</v>
      </c>
      <c r="C734" s="19" t="s">
        <v>1017</v>
      </c>
      <c r="D734" s="22" t="s">
        <v>2326</v>
      </c>
      <c r="E734" s="19" t="s">
        <v>54</v>
      </c>
      <c r="F734" s="19" t="s">
        <v>295</v>
      </c>
      <c r="G734" s="19" t="s">
        <v>135</v>
      </c>
      <c r="H734" s="22" t="s">
        <v>365</v>
      </c>
      <c r="I734" s="25" t="s">
        <v>2327</v>
      </c>
      <c r="J734" s="19" t="s">
        <v>140</v>
      </c>
      <c r="K734" s="19" t="s">
        <v>13</v>
      </c>
      <c r="L734" s="22"/>
      <c r="M734" s="26"/>
      <c r="N734" s="26"/>
      <c r="O734" s="26"/>
      <c r="P734" s="26"/>
      <c r="Q734" s="26"/>
    </row>
    <row r="735" ht="15.75" hidden="1" customHeight="1">
      <c r="A735" s="31" t="s">
        <v>39</v>
      </c>
      <c r="B735" s="9" t="s">
        <v>2312</v>
      </c>
      <c r="C735" s="19" t="s">
        <v>2328</v>
      </c>
      <c r="D735" s="22" t="s">
        <v>2329</v>
      </c>
      <c r="E735" s="19" t="s">
        <v>54</v>
      </c>
      <c r="F735" s="19" t="s">
        <v>295</v>
      </c>
      <c r="G735" s="19" t="s">
        <v>135</v>
      </c>
      <c r="H735" s="22" t="s">
        <v>365</v>
      </c>
      <c r="I735" s="25" t="s">
        <v>2330</v>
      </c>
      <c r="J735" s="19"/>
      <c r="K735" s="19" t="s">
        <v>13</v>
      </c>
      <c r="L735" s="22" t="s">
        <v>2331</v>
      </c>
      <c r="M735" s="26"/>
      <c r="N735" s="26"/>
      <c r="O735" s="26"/>
      <c r="P735" s="26"/>
      <c r="Q735" s="26"/>
    </row>
    <row r="736" ht="15.75" hidden="1" customHeight="1">
      <c r="A736" s="31" t="s">
        <v>39</v>
      </c>
      <c r="B736" s="9" t="s">
        <v>2312</v>
      </c>
      <c r="C736" s="19" t="s">
        <v>2332</v>
      </c>
      <c r="D736" s="22" t="s">
        <v>1838</v>
      </c>
      <c r="E736" s="19" t="s">
        <v>54</v>
      </c>
      <c r="F736" s="19" t="s">
        <v>2333</v>
      </c>
      <c r="G736" s="19" t="s">
        <v>135</v>
      </c>
      <c r="H736" s="22" t="s">
        <v>365</v>
      </c>
      <c r="I736" s="25" t="s">
        <v>2334</v>
      </c>
      <c r="J736" s="19"/>
      <c r="K736" s="19" t="s">
        <v>40</v>
      </c>
      <c r="L736" s="22"/>
      <c r="M736" s="26"/>
      <c r="N736" s="26"/>
      <c r="O736" s="26"/>
      <c r="P736" s="26"/>
      <c r="Q736" s="26"/>
    </row>
    <row r="737" ht="15.75" hidden="1" customHeight="1">
      <c r="A737" s="31" t="s">
        <v>39</v>
      </c>
      <c r="B737" s="9" t="s">
        <v>2312</v>
      </c>
      <c r="C737" s="19" t="s">
        <v>183</v>
      </c>
      <c r="D737" s="22" t="s">
        <v>2335</v>
      </c>
      <c r="E737" s="19" t="s">
        <v>129</v>
      </c>
      <c r="F737" s="19" t="s">
        <v>302</v>
      </c>
      <c r="G737" s="19" t="s">
        <v>57</v>
      </c>
      <c r="H737" s="24" t="s">
        <v>59</v>
      </c>
      <c r="I737" s="25" t="s">
        <v>2336</v>
      </c>
      <c r="J737" s="19" t="s">
        <v>319</v>
      </c>
      <c r="K737" s="19" t="s">
        <v>52</v>
      </c>
      <c r="L737" s="22"/>
      <c r="M737" s="26"/>
      <c r="N737" s="26"/>
      <c r="O737" s="26"/>
      <c r="P737" s="26"/>
      <c r="Q737" s="26"/>
    </row>
    <row r="738" ht="15.75" hidden="1" customHeight="1">
      <c r="A738" s="31" t="s">
        <v>39</v>
      </c>
      <c r="B738" s="9" t="s">
        <v>2312</v>
      </c>
      <c r="C738" s="19" t="s">
        <v>2337</v>
      </c>
      <c r="D738" s="22" t="s">
        <v>2338</v>
      </c>
      <c r="E738" s="19" t="s">
        <v>54</v>
      </c>
      <c r="F738" s="19" t="s">
        <v>295</v>
      </c>
      <c r="G738" s="19" t="s">
        <v>142</v>
      </c>
      <c r="H738" s="22" t="s">
        <v>365</v>
      </c>
      <c r="I738" s="25" t="s">
        <v>2339</v>
      </c>
      <c r="J738" s="19"/>
      <c r="K738" s="19" t="s">
        <v>117</v>
      </c>
      <c r="L738" s="22" t="s">
        <v>2340</v>
      </c>
      <c r="M738" s="26"/>
      <c r="N738" s="26"/>
      <c r="O738" s="26"/>
      <c r="P738" s="26"/>
      <c r="Q738" s="26"/>
    </row>
    <row r="739" ht="15.75" hidden="1" customHeight="1">
      <c r="A739" s="31" t="s">
        <v>39</v>
      </c>
      <c r="B739" s="9" t="s">
        <v>2312</v>
      </c>
      <c r="C739" s="19" t="s">
        <v>1283</v>
      </c>
      <c r="D739" s="22" t="s">
        <v>2341</v>
      </c>
      <c r="E739" s="19" t="s">
        <v>127</v>
      </c>
      <c r="F739" s="19" t="s">
        <v>631</v>
      </c>
      <c r="G739" s="19" t="s">
        <v>57</v>
      </c>
      <c r="H739" s="24" t="s">
        <v>59</v>
      </c>
      <c r="I739" s="25" t="s">
        <v>2342</v>
      </c>
      <c r="J739" s="19" t="s">
        <v>811</v>
      </c>
      <c r="K739" s="19" t="s">
        <v>66</v>
      </c>
      <c r="L739" s="22"/>
      <c r="M739" s="26"/>
      <c r="N739" s="26"/>
      <c r="O739" s="26"/>
      <c r="P739" s="26"/>
      <c r="Q739" s="26"/>
    </row>
    <row r="740" ht="15.75" hidden="1" customHeight="1">
      <c r="A740" s="31" t="s">
        <v>39</v>
      </c>
      <c r="B740" s="9" t="s">
        <v>2312</v>
      </c>
      <c r="C740" s="19" t="s">
        <v>2343</v>
      </c>
      <c r="D740" s="22" t="s">
        <v>2344</v>
      </c>
      <c r="E740" s="19" t="s">
        <v>54</v>
      </c>
      <c r="F740" s="19" t="s">
        <v>295</v>
      </c>
      <c r="G740" s="19" t="s">
        <v>135</v>
      </c>
      <c r="H740" s="22" t="s">
        <v>365</v>
      </c>
      <c r="I740" s="25" t="s">
        <v>2345</v>
      </c>
      <c r="J740" s="19" t="s">
        <v>1240</v>
      </c>
      <c r="K740" s="19" t="s">
        <v>40</v>
      </c>
      <c r="L740" s="22"/>
      <c r="M740" s="26"/>
      <c r="N740" s="26"/>
      <c r="O740" s="26"/>
      <c r="P740" s="26"/>
      <c r="Q740" s="26"/>
    </row>
    <row r="741" ht="15.75" hidden="1" customHeight="1">
      <c r="A741" s="31" t="s">
        <v>39</v>
      </c>
      <c r="B741" s="9" t="s">
        <v>2312</v>
      </c>
      <c r="C741" s="19" t="s">
        <v>2343</v>
      </c>
      <c r="D741" s="22" t="s">
        <v>2346</v>
      </c>
      <c r="E741" s="19" t="s">
        <v>54</v>
      </c>
      <c r="F741" s="19" t="s">
        <v>295</v>
      </c>
      <c r="G741" s="19" t="s">
        <v>135</v>
      </c>
      <c r="H741" s="22" t="s">
        <v>365</v>
      </c>
      <c r="I741" s="25" t="s">
        <v>2347</v>
      </c>
      <c r="J741" s="19"/>
      <c r="K741" s="19" t="s">
        <v>40</v>
      </c>
      <c r="L741" s="22"/>
      <c r="M741" s="26"/>
      <c r="N741" s="26"/>
      <c r="O741" s="26"/>
      <c r="P741" s="26"/>
      <c r="Q741" s="26"/>
    </row>
    <row r="742" ht="15.75" hidden="1" customHeight="1">
      <c r="A742" s="31" t="s">
        <v>39</v>
      </c>
      <c r="B742" s="9" t="s">
        <v>2312</v>
      </c>
      <c r="C742" s="19" t="s">
        <v>2343</v>
      </c>
      <c r="D742" s="22" t="s">
        <v>2348</v>
      </c>
      <c r="E742" s="19" t="s">
        <v>54</v>
      </c>
      <c r="F742" s="19" t="s">
        <v>295</v>
      </c>
      <c r="G742" s="19" t="s">
        <v>135</v>
      </c>
      <c r="H742" s="22" t="s">
        <v>365</v>
      </c>
      <c r="I742" s="25" t="s">
        <v>2349</v>
      </c>
      <c r="J742" s="19"/>
      <c r="K742" s="19" t="s">
        <v>40</v>
      </c>
      <c r="L742" s="22"/>
      <c r="M742" s="26"/>
      <c r="N742" s="26"/>
      <c r="O742" s="26"/>
      <c r="P742" s="26"/>
      <c r="Q742" s="26"/>
    </row>
    <row r="743" ht="15.75" hidden="1" customHeight="1">
      <c r="A743" s="31" t="s">
        <v>39</v>
      </c>
      <c r="B743" s="9" t="s">
        <v>2312</v>
      </c>
      <c r="C743" s="19" t="s">
        <v>2350</v>
      </c>
      <c r="D743" s="22" t="s">
        <v>493</v>
      </c>
      <c r="E743" s="19" t="s">
        <v>116</v>
      </c>
      <c r="F743" s="19" t="s">
        <v>295</v>
      </c>
      <c r="G743" s="19" t="s">
        <v>135</v>
      </c>
      <c r="H743" s="22" t="s">
        <v>155</v>
      </c>
      <c r="I743" s="25" t="s">
        <v>2351</v>
      </c>
      <c r="J743" s="19"/>
      <c r="K743" s="19" t="s">
        <v>74</v>
      </c>
      <c r="L743" s="22" t="s">
        <v>723</v>
      </c>
      <c r="M743" s="26"/>
      <c r="N743" s="26"/>
      <c r="O743" s="26"/>
      <c r="P743" s="26"/>
      <c r="Q743" s="26"/>
    </row>
    <row r="744" ht="15.75" hidden="1" customHeight="1">
      <c r="A744" s="31" t="s">
        <v>39</v>
      </c>
      <c r="B744" s="9" t="s">
        <v>2312</v>
      </c>
      <c r="C744" s="19" t="s">
        <v>1289</v>
      </c>
      <c r="D744" s="22" t="s">
        <v>2352</v>
      </c>
      <c r="E744" s="19" t="s">
        <v>127</v>
      </c>
      <c r="F744" s="19" t="s">
        <v>1291</v>
      </c>
      <c r="G744" s="19" t="s">
        <v>57</v>
      </c>
      <c r="H744" s="24" t="s">
        <v>59</v>
      </c>
      <c r="I744" s="25" t="s">
        <v>2353</v>
      </c>
      <c r="J744" s="19"/>
      <c r="K744" s="19" t="s">
        <v>122</v>
      </c>
      <c r="L744" s="22" t="s">
        <v>539</v>
      </c>
      <c r="M744" s="26"/>
      <c r="N744" s="26"/>
      <c r="O744" s="26"/>
      <c r="P744" s="26"/>
      <c r="Q744" s="26"/>
    </row>
    <row r="745" ht="15.75" hidden="1" customHeight="1">
      <c r="A745" s="31" t="s">
        <v>39</v>
      </c>
      <c r="B745" s="9" t="s">
        <v>2312</v>
      </c>
      <c r="C745" s="19" t="s">
        <v>172</v>
      </c>
      <c r="D745" s="22" t="s">
        <v>2354</v>
      </c>
      <c r="E745" s="19" t="s">
        <v>121</v>
      </c>
      <c r="F745" s="19" t="s">
        <v>421</v>
      </c>
      <c r="G745" s="19" t="s">
        <v>57</v>
      </c>
      <c r="H745" s="24" t="s">
        <v>59</v>
      </c>
      <c r="I745" s="25" t="s">
        <v>2355</v>
      </c>
      <c r="J745" s="19" t="s">
        <v>553</v>
      </c>
      <c r="K745" s="19" t="s">
        <v>139</v>
      </c>
      <c r="L745" s="22"/>
      <c r="M745" s="26"/>
      <c r="N745" s="26"/>
      <c r="O745" s="26"/>
      <c r="P745" s="26"/>
      <c r="Q745" s="26"/>
    </row>
    <row r="746" ht="15.75" hidden="1" customHeight="1">
      <c r="A746" s="31" t="s">
        <v>39</v>
      </c>
      <c r="B746" s="9" t="s">
        <v>2312</v>
      </c>
      <c r="C746" s="19" t="s">
        <v>172</v>
      </c>
      <c r="D746" s="22" t="s">
        <v>2356</v>
      </c>
      <c r="E746" s="19" t="s">
        <v>127</v>
      </c>
      <c r="F746" s="19" t="s">
        <v>1033</v>
      </c>
      <c r="G746" s="19" t="s">
        <v>57</v>
      </c>
      <c r="H746" s="24" t="s">
        <v>59</v>
      </c>
      <c r="I746" s="25" t="s">
        <v>2357</v>
      </c>
      <c r="J746" s="19" t="s">
        <v>337</v>
      </c>
      <c r="K746" s="19" t="s">
        <v>145</v>
      </c>
      <c r="L746" s="22"/>
      <c r="M746" s="26"/>
      <c r="N746" s="26"/>
      <c r="O746" s="26"/>
      <c r="P746" s="26"/>
      <c r="Q746" s="26"/>
    </row>
    <row r="747" ht="15.75" customHeight="1">
      <c r="A747" s="31" t="s">
        <v>39</v>
      </c>
      <c r="B747" s="9" t="s">
        <v>2358</v>
      </c>
      <c r="C747" s="19" t="s">
        <v>1048</v>
      </c>
      <c r="D747" s="22" t="s">
        <v>1765</v>
      </c>
      <c r="E747" s="19" t="s">
        <v>119</v>
      </c>
      <c r="F747" s="19" t="s">
        <v>868</v>
      </c>
      <c r="G747" s="19" t="s">
        <v>90</v>
      </c>
      <c r="H747" s="24" t="s">
        <v>59</v>
      </c>
      <c r="I747" s="25" t="s">
        <v>2359</v>
      </c>
      <c r="J747" s="19"/>
      <c r="K747" s="19" t="s">
        <v>125</v>
      </c>
      <c r="L747" s="22" t="s">
        <v>2360</v>
      </c>
      <c r="M747" s="26"/>
      <c r="N747" s="26"/>
      <c r="O747" s="26"/>
      <c r="P747" s="26"/>
      <c r="Q747" s="26"/>
    </row>
    <row r="748" ht="15.75" customHeight="1">
      <c r="A748" s="31" t="s">
        <v>39</v>
      </c>
      <c r="B748" s="9" t="s">
        <v>2358</v>
      </c>
      <c r="C748" s="19" t="s">
        <v>1048</v>
      </c>
      <c r="D748" s="22" t="s">
        <v>2361</v>
      </c>
      <c r="E748" s="19" t="s">
        <v>119</v>
      </c>
      <c r="F748" s="19" t="s">
        <v>868</v>
      </c>
      <c r="G748" s="19" t="s">
        <v>90</v>
      </c>
      <c r="H748" s="24" t="s">
        <v>59</v>
      </c>
      <c r="I748" s="25" t="s">
        <v>2362</v>
      </c>
      <c r="J748" s="19" t="s">
        <v>1135</v>
      </c>
      <c r="K748" s="19" t="s">
        <v>82</v>
      </c>
      <c r="L748" s="22" t="s">
        <v>2363</v>
      </c>
      <c r="M748" s="26"/>
      <c r="N748" s="26"/>
      <c r="O748" s="26"/>
      <c r="P748" s="26"/>
      <c r="Q748" s="26"/>
    </row>
    <row r="749" ht="15.75" customHeight="1">
      <c r="A749" s="31" t="s">
        <v>39</v>
      </c>
      <c r="B749" s="9" t="s">
        <v>2358</v>
      </c>
      <c r="C749" s="19" t="s">
        <v>1048</v>
      </c>
      <c r="D749" s="22" t="s">
        <v>2364</v>
      </c>
      <c r="E749" s="19" t="s">
        <v>119</v>
      </c>
      <c r="F749" s="19" t="s">
        <v>868</v>
      </c>
      <c r="G749" s="19" t="s">
        <v>90</v>
      </c>
      <c r="H749" s="24" t="s">
        <v>59</v>
      </c>
      <c r="I749" s="25" t="s">
        <v>2365</v>
      </c>
      <c r="J749" s="19" t="s">
        <v>1135</v>
      </c>
      <c r="K749" s="19" t="s">
        <v>82</v>
      </c>
      <c r="L749" s="22" t="s">
        <v>2363</v>
      </c>
      <c r="M749" s="26"/>
      <c r="N749" s="26"/>
      <c r="O749" s="26"/>
      <c r="P749" s="26"/>
      <c r="Q749" s="26"/>
    </row>
    <row r="750" ht="15.75" customHeight="1">
      <c r="A750" s="31" t="s">
        <v>39</v>
      </c>
      <c r="B750" s="9" t="s">
        <v>2358</v>
      </c>
      <c r="C750" s="19" t="s">
        <v>1048</v>
      </c>
      <c r="D750" s="22" t="s">
        <v>2366</v>
      </c>
      <c r="E750" s="19" t="s">
        <v>119</v>
      </c>
      <c r="F750" s="19" t="s">
        <v>868</v>
      </c>
      <c r="G750" s="19" t="s">
        <v>90</v>
      </c>
      <c r="H750" s="24" t="s">
        <v>59</v>
      </c>
      <c r="I750" s="25" t="s">
        <v>2367</v>
      </c>
      <c r="J750" s="19" t="s">
        <v>1135</v>
      </c>
      <c r="K750" s="19" t="s">
        <v>82</v>
      </c>
      <c r="L750" s="22" t="s">
        <v>2363</v>
      </c>
      <c r="M750" s="26"/>
      <c r="N750" s="26"/>
      <c r="O750" s="26"/>
      <c r="P750" s="26"/>
      <c r="Q750" s="26"/>
    </row>
    <row r="751" ht="15.75" customHeight="1">
      <c r="A751" s="31" t="s">
        <v>39</v>
      </c>
      <c r="B751" s="9" t="s">
        <v>2358</v>
      </c>
      <c r="C751" s="19" t="s">
        <v>2368</v>
      </c>
      <c r="D751" s="22" t="s">
        <v>2369</v>
      </c>
      <c r="E751" s="19" t="s">
        <v>119</v>
      </c>
      <c r="F751" s="19" t="s">
        <v>2370</v>
      </c>
      <c r="G751" s="19" t="s">
        <v>90</v>
      </c>
      <c r="H751" s="24" t="s">
        <v>59</v>
      </c>
      <c r="I751" s="25" t="s">
        <v>2371</v>
      </c>
      <c r="J751" s="19"/>
      <c r="K751" s="19" t="s">
        <v>112</v>
      </c>
      <c r="L751" s="22"/>
      <c r="M751" s="26"/>
      <c r="N751" s="26"/>
      <c r="O751" s="26"/>
      <c r="P751" s="26"/>
      <c r="Q751" s="26"/>
    </row>
    <row r="752" ht="15.75" customHeight="1">
      <c r="A752" s="31" t="s">
        <v>39</v>
      </c>
      <c r="B752" s="9" t="s">
        <v>2358</v>
      </c>
      <c r="C752" s="19" t="s">
        <v>866</v>
      </c>
      <c r="D752" s="22" t="s">
        <v>818</v>
      </c>
      <c r="E752" s="19" t="s">
        <v>119</v>
      </c>
      <c r="F752" s="19" t="s">
        <v>868</v>
      </c>
      <c r="G752" s="19" t="s">
        <v>90</v>
      </c>
      <c r="H752" s="24" t="s">
        <v>59</v>
      </c>
      <c r="I752" s="25" t="s">
        <v>2372</v>
      </c>
      <c r="J752" s="19"/>
      <c r="K752" s="19" t="s">
        <v>112</v>
      </c>
      <c r="L752" s="22"/>
      <c r="M752" s="26"/>
      <c r="N752" s="26"/>
      <c r="O752" s="26"/>
      <c r="P752" s="26"/>
      <c r="Q752" s="26"/>
    </row>
    <row r="753" ht="15.75" customHeight="1">
      <c r="A753" s="31" t="s">
        <v>39</v>
      </c>
      <c r="B753" s="9" t="s">
        <v>2358</v>
      </c>
      <c r="C753" s="19" t="s">
        <v>198</v>
      </c>
      <c r="D753" s="22" t="s">
        <v>2373</v>
      </c>
      <c r="E753" s="19" t="s">
        <v>119</v>
      </c>
      <c r="F753" s="19" t="s">
        <v>868</v>
      </c>
      <c r="G753" s="19" t="s">
        <v>90</v>
      </c>
      <c r="H753" s="24" t="s">
        <v>59</v>
      </c>
      <c r="I753" s="25" t="s">
        <v>2374</v>
      </c>
      <c r="J753" s="19"/>
      <c r="K753" s="19" t="s">
        <v>40</v>
      </c>
      <c r="L753" s="22" t="s">
        <v>2375</v>
      </c>
      <c r="M753" s="26"/>
      <c r="N753" s="26"/>
      <c r="O753" s="26"/>
      <c r="P753" s="26"/>
      <c r="Q753" s="26"/>
    </row>
    <row r="754" ht="15.75" customHeight="1">
      <c r="A754" s="31" t="s">
        <v>39</v>
      </c>
      <c r="B754" s="9" t="s">
        <v>2358</v>
      </c>
      <c r="C754" s="19" t="s">
        <v>198</v>
      </c>
      <c r="D754" s="22" t="s">
        <v>2376</v>
      </c>
      <c r="E754" s="19" t="s">
        <v>119</v>
      </c>
      <c r="F754" s="19" t="s">
        <v>868</v>
      </c>
      <c r="G754" s="19" t="s">
        <v>90</v>
      </c>
      <c r="H754" s="24" t="s">
        <v>59</v>
      </c>
      <c r="I754" s="25" t="s">
        <v>2377</v>
      </c>
      <c r="J754" s="19" t="s">
        <v>1314</v>
      </c>
      <c r="K754" s="19" t="s">
        <v>82</v>
      </c>
      <c r="L754" s="22" t="s">
        <v>2363</v>
      </c>
      <c r="M754" s="26"/>
      <c r="N754" s="26"/>
      <c r="O754" s="26"/>
      <c r="P754" s="26"/>
      <c r="Q754" s="26"/>
    </row>
    <row r="755" ht="15.75" customHeight="1">
      <c r="A755" s="31" t="s">
        <v>39</v>
      </c>
      <c r="B755" s="9" t="s">
        <v>2358</v>
      </c>
      <c r="C755" s="19" t="s">
        <v>191</v>
      </c>
      <c r="D755" s="22" t="s">
        <v>2378</v>
      </c>
      <c r="E755" s="19" t="s">
        <v>119</v>
      </c>
      <c r="F755" s="19" t="s">
        <v>868</v>
      </c>
      <c r="G755" s="19" t="s">
        <v>90</v>
      </c>
      <c r="H755" s="24" t="s">
        <v>59</v>
      </c>
      <c r="I755" s="25" t="s">
        <v>2379</v>
      </c>
      <c r="J755" s="19"/>
      <c r="K755" s="19" t="s">
        <v>112</v>
      </c>
      <c r="L755" s="22"/>
      <c r="M755" s="26"/>
      <c r="N755" s="26"/>
      <c r="O755" s="26"/>
      <c r="P755" s="26"/>
      <c r="Q755" s="26"/>
    </row>
    <row r="756" ht="15.75" customHeight="1">
      <c r="A756" s="31" t="s">
        <v>39</v>
      </c>
      <c r="B756" s="9" t="s">
        <v>2358</v>
      </c>
      <c r="C756" s="19" t="s">
        <v>191</v>
      </c>
      <c r="D756" s="22" t="s">
        <v>2380</v>
      </c>
      <c r="E756" s="19" t="s">
        <v>119</v>
      </c>
      <c r="F756" s="19" t="s">
        <v>241</v>
      </c>
      <c r="G756" s="19" t="s">
        <v>90</v>
      </c>
      <c r="H756" s="24" t="s">
        <v>59</v>
      </c>
      <c r="I756" s="25" t="s">
        <v>2381</v>
      </c>
      <c r="J756" s="19" t="s">
        <v>140</v>
      </c>
      <c r="K756" s="19" t="s">
        <v>78</v>
      </c>
      <c r="L756" s="22"/>
      <c r="M756" s="26"/>
      <c r="N756" s="26"/>
      <c r="O756" s="26"/>
      <c r="P756" s="26"/>
      <c r="Q756" s="26"/>
    </row>
    <row r="757" ht="15.75" customHeight="1">
      <c r="A757" s="31" t="s">
        <v>39</v>
      </c>
      <c r="B757" s="9" t="s">
        <v>2358</v>
      </c>
      <c r="C757" s="19" t="s">
        <v>191</v>
      </c>
      <c r="D757" s="22" t="s">
        <v>2382</v>
      </c>
      <c r="E757" s="19" t="s">
        <v>119</v>
      </c>
      <c r="F757" s="19" t="s">
        <v>868</v>
      </c>
      <c r="G757" s="19" t="s">
        <v>90</v>
      </c>
      <c r="H757" s="24" t="s">
        <v>59</v>
      </c>
      <c r="I757" s="25" t="s">
        <v>2383</v>
      </c>
      <c r="J757" s="19"/>
      <c r="K757" s="19" t="s">
        <v>224</v>
      </c>
      <c r="L757" s="22" t="s">
        <v>2384</v>
      </c>
      <c r="M757" s="26"/>
      <c r="N757" s="26"/>
      <c r="O757" s="26"/>
      <c r="P757" s="26"/>
      <c r="Q757" s="26"/>
    </row>
    <row r="758" ht="15.75" customHeight="1">
      <c r="A758" s="31" t="s">
        <v>39</v>
      </c>
      <c r="B758" s="9" t="s">
        <v>2358</v>
      </c>
      <c r="C758" s="19" t="s">
        <v>790</v>
      </c>
      <c r="D758" s="22" t="s">
        <v>2385</v>
      </c>
      <c r="E758" s="19" t="s">
        <v>119</v>
      </c>
      <c r="F758" s="19" t="s">
        <v>552</v>
      </c>
      <c r="G758" s="19" t="s">
        <v>90</v>
      </c>
      <c r="H758" s="24" t="s">
        <v>59</v>
      </c>
      <c r="I758" s="25" t="s">
        <v>2386</v>
      </c>
      <c r="J758" s="19" t="s">
        <v>1726</v>
      </c>
      <c r="K758" s="19" t="s">
        <v>92</v>
      </c>
      <c r="L758" s="22"/>
      <c r="M758" s="26"/>
      <c r="N758" s="26"/>
      <c r="O758" s="26"/>
      <c r="P758" s="26"/>
      <c r="Q758" s="26"/>
    </row>
    <row r="759" ht="15.75" hidden="1" customHeight="1">
      <c r="A759" s="31" t="s">
        <v>39</v>
      </c>
      <c r="B759" s="9" t="s">
        <v>2358</v>
      </c>
      <c r="C759" s="19" t="s">
        <v>362</v>
      </c>
      <c r="D759" s="22" t="s">
        <v>2387</v>
      </c>
      <c r="E759" s="19" t="s">
        <v>109</v>
      </c>
      <c r="F759" s="19" t="s">
        <v>364</v>
      </c>
      <c r="G759" s="19" t="s">
        <v>135</v>
      </c>
      <c r="H759" s="22" t="s">
        <v>365</v>
      </c>
      <c r="I759" s="25" t="s">
        <v>2388</v>
      </c>
      <c r="J759" s="19" t="s">
        <v>1349</v>
      </c>
      <c r="K759" s="19" t="s">
        <v>156</v>
      </c>
      <c r="L759" s="22"/>
      <c r="M759" s="26"/>
      <c r="N759" s="26"/>
      <c r="O759" s="26"/>
      <c r="P759" s="26"/>
      <c r="Q759" s="26"/>
    </row>
    <row r="760" ht="15.75" customHeight="1">
      <c r="A760" s="31" t="s">
        <v>39</v>
      </c>
      <c r="B760" s="9" t="s">
        <v>2358</v>
      </c>
      <c r="C760" s="19" t="s">
        <v>174</v>
      </c>
      <c r="D760" s="22" t="s">
        <v>1742</v>
      </c>
      <c r="E760" s="19" t="s">
        <v>119</v>
      </c>
      <c r="F760" s="19" t="s">
        <v>901</v>
      </c>
      <c r="G760" s="19" t="s">
        <v>90</v>
      </c>
      <c r="H760" s="24" t="s">
        <v>59</v>
      </c>
      <c r="I760" s="25" t="s">
        <v>2389</v>
      </c>
      <c r="J760" s="19"/>
      <c r="K760" s="19" t="s">
        <v>100</v>
      </c>
      <c r="L760" s="22"/>
      <c r="M760" s="26"/>
      <c r="N760" s="26"/>
      <c r="O760" s="26"/>
      <c r="P760" s="26"/>
      <c r="Q760" s="26"/>
    </row>
    <row r="761" ht="15.75" customHeight="1">
      <c r="A761" s="31" t="s">
        <v>39</v>
      </c>
      <c r="B761" s="9" t="s">
        <v>2358</v>
      </c>
      <c r="C761" s="19" t="s">
        <v>174</v>
      </c>
      <c r="D761" s="22" t="s">
        <v>1742</v>
      </c>
      <c r="E761" s="19" t="s">
        <v>119</v>
      </c>
      <c r="F761" s="19" t="s">
        <v>1414</v>
      </c>
      <c r="G761" s="19" t="s">
        <v>90</v>
      </c>
      <c r="H761" s="24" t="s">
        <v>59</v>
      </c>
      <c r="I761" s="25" t="s">
        <v>2390</v>
      </c>
      <c r="J761" s="19" t="s">
        <v>561</v>
      </c>
      <c r="K761" s="19" t="s">
        <v>66</v>
      </c>
      <c r="L761" s="22"/>
      <c r="M761" s="26"/>
      <c r="N761" s="26"/>
      <c r="O761" s="26"/>
      <c r="P761" s="26"/>
      <c r="Q761" s="26"/>
    </row>
    <row r="762" ht="15.75" customHeight="1">
      <c r="A762" s="31" t="s">
        <v>39</v>
      </c>
      <c r="B762" s="9" t="s">
        <v>2358</v>
      </c>
      <c r="C762" s="19" t="s">
        <v>174</v>
      </c>
      <c r="D762" s="22" t="s">
        <v>818</v>
      </c>
      <c r="E762" s="19" t="s">
        <v>119</v>
      </c>
      <c r="F762" s="19" t="s">
        <v>901</v>
      </c>
      <c r="G762" s="19" t="s">
        <v>90</v>
      </c>
      <c r="H762" s="24" t="s">
        <v>59</v>
      </c>
      <c r="I762" s="25" t="s">
        <v>2391</v>
      </c>
      <c r="J762" s="19"/>
      <c r="K762" s="19" t="s">
        <v>125</v>
      </c>
      <c r="L762" s="22" t="s">
        <v>2392</v>
      </c>
      <c r="M762" s="26"/>
      <c r="N762" s="26"/>
      <c r="O762" s="26"/>
      <c r="P762" s="26"/>
      <c r="Q762" s="26"/>
    </row>
    <row r="763" ht="15.75" customHeight="1">
      <c r="A763" s="31" t="s">
        <v>39</v>
      </c>
      <c r="B763" s="9" t="s">
        <v>2358</v>
      </c>
      <c r="C763" s="19" t="s">
        <v>174</v>
      </c>
      <c r="D763" s="22" t="s">
        <v>818</v>
      </c>
      <c r="E763" s="19" t="s">
        <v>119</v>
      </c>
      <c r="F763" s="19" t="s">
        <v>868</v>
      </c>
      <c r="G763" s="19" t="s">
        <v>90</v>
      </c>
      <c r="H763" s="24" t="s">
        <v>59</v>
      </c>
      <c r="I763" s="25" t="s">
        <v>2393</v>
      </c>
      <c r="J763" s="19" t="s">
        <v>2394</v>
      </c>
      <c r="K763" s="19" t="s">
        <v>66</v>
      </c>
      <c r="L763" s="22"/>
      <c r="M763" s="26"/>
      <c r="N763" s="26"/>
      <c r="O763" s="26"/>
      <c r="P763" s="26"/>
      <c r="Q763" s="26"/>
    </row>
    <row r="764" ht="15.75" customHeight="1">
      <c r="A764" s="31" t="s">
        <v>39</v>
      </c>
      <c r="B764" s="9" t="s">
        <v>2358</v>
      </c>
      <c r="C764" s="19" t="s">
        <v>174</v>
      </c>
      <c r="D764" s="22" t="s">
        <v>1753</v>
      </c>
      <c r="E764" s="19" t="s">
        <v>119</v>
      </c>
      <c r="F764" s="19" t="s">
        <v>868</v>
      </c>
      <c r="G764" s="19" t="s">
        <v>90</v>
      </c>
      <c r="H764" s="24" t="s">
        <v>59</v>
      </c>
      <c r="I764" s="25" t="s">
        <v>1754</v>
      </c>
      <c r="J764" s="19"/>
      <c r="K764" s="19" t="s">
        <v>125</v>
      </c>
      <c r="L764" s="22" t="s">
        <v>1745</v>
      </c>
      <c r="M764" s="26"/>
      <c r="N764" s="26"/>
      <c r="O764" s="26"/>
      <c r="P764" s="26"/>
      <c r="Q764" s="26"/>
    </row>
    <row r="765" ht="15.75" customHeight="1">
      <c r="A765" s="31" t="s">
        <v>39</v>
      </c>
      <c r="B765" s="9" t="s">
        <v>2358</v>
      </c>
      <c r="C765" s="19" t="s">
        <v>174</v>
      </c>
      <c r="D765" s="22" t="s">
        <v>2395</v>
      </c>
      <c r="E765" s="19" t="s">
        <v>119</v>
      </c>
      <c r="F765" s="19" t="s">
        <v>858</v>
      </c>
      <c r="G765" s="19" t="s">
        <v>90</v>
      </c>
      <c r="H765" s="24" t="s">
        <v>59</v>
      </c>
      <c r="I765" s="25" t="s">
        <v>2396</v>
      </c>
      <c r="J765" s="19" t="s">
        <v>561</v>
      </c>
      <c r="K765" s="19" t="s">
        <v>66</v>
      </c>
      <c r="L765" s="22"/>
      <c r="M765" s="26"/>
      <c r="N765" s="26"/>
      <c r="O765" s="26"/>
      <c r="P765" s="26"/>
      <c r="Q765" s="26"/>
    </row>
    <row r="766" ht="15.75" customHeight="1">
      <c r="A766" s="31" t="s">
        <v>39</v>
      </c>
      <c r="B766" s="9" t="s">
        <v>2358</v>
      </c>
      <c r="C766" s="19" t="s">
        <v>174</v>
      </c>
      <c r="D766" s="22" t="s">
        <v>1755</v>
      </c>
      <c r="E766" s="19" t="s">
        <v>119</v>
      </c>
      <c r="F766" s="19" t="s">
        <v>901</v>
      </c>
      <c r="G766" s="19" t="s">
        <v>90</v>
      </c>
      <c r="H766" s="24" t="s">
        <v>59</v>
      </c>
      <c r="I766" s="25" t="s">
        <v>2397</v>
      </c>
      <c r="J766" s="19" t="s">
        <v>936</v>
      </c>
      <c r="K766" s="19" t="s">
        <v>92</v>
      </c>
      <c r="L766" s="22"/>
      <c r="M766" s="26"/>
      <c r="N766" s="26"/>
      <c r="O766" s="26"/>
      <c r="P766" s="26"/>
      <c r="Q766" s="26"/>
    </row>
    <row r="767" ht="15.75" customHeight="1">
      <c r="A767" s="31" t="s">
        <v>39</v>
      </c>
      <c r="B767" s="9" t="s">
        <v>2358</v>
      </c>
      <c r="C767" s="19" t="s">
        <v>1764</v>
      </c>
      <c r="D767" s="22" t="s">
        <v>2398</v>
      </c>
      <c r="E767" s="19" t="s">
        <v>119</v>
      </c>
      <c r="F767" s="19" t="s">
        <v>868</v>
      </c>
      <c r="G767" s="19" t="s">
        <v>90</v>
      </c>
      <c r="H767" s="24" t="s">
        <v>59</v>
      </c>
      <c r="I767" s="25" t="s">
        <v>2399</v>
      </c>
      <c r="J767" s="19" t="s">
        <v>619</v>
      </c>
      <c r="K767" s="19" t="s">
        <v>40</v>
      </c>
      <c r="L767" s="22"/>
      <c r="M767" s="26"/>
      <c r="N767" s="26"/>
      <c r="O767" s="26"/>
      <c r="P767" s="26"/>
      <c r="Q767" s="26"/>
    </row>
    <row r="768" ht="15.75" customHeight="1">
      <c r="A768" s="31" t="s">
        <v>39</v>
      </c>
      <c r="B768" s="9" t="s">
        <v>2400</v>
      </c>
      <c r="C768" s="19" t="s">
        <v>1388</v>
      </c>
      <c r="D768" s="22" t="s">
        <v>2401</v>
      </c>
      <c r="E768" s="19" t="s">
        <v>127</v>
      </c>
      <c r="F768" s="19" t="s">
        <v>335</v>
      </c>
      <c r="G768" s="19" t="s">
        <v>90</v>
      </c>
      <c r="H768" s="24" t="s">
        <v>59</v>
      </c>
      <c r="I768" s="25" t="s">
        <v>2402</v>
      </c>
      <c r="J768" s="19"/>
      <c r="K768" s="19" t="s">
        <v>100</v>
      </c>
      <c r="L768" s="22" t="s">
        <v>2403</v>
      </c>
      <c r="M768" s="26"/>
      <c r="N768" s="26"/>
      <c r="O768" s="26"/>
      <c r="P768" s="26"/>
      <c r="Q768" s="26"/>
    </row>
    <row r="769" ht="15.75" hidden="1" customHeight="1">
      <c r="A769" s="31" t="s">
        <v>39</v>
      </c>
      <c r="B769" s="9" t="s">
        <v>2400</v>
      </c>
      <c r="C769" s="19" t="s">
        <v>2404</v>
      </c>
      <c r="D769" s="22" t="s">
        <v>2405</v>
      </c>
      <c r="E769" s="19" t="s">
        <v>116</v>
      </c>
      <c r="F769" s="19" t="s">
        <v>858</v>
      </c>
      <c r="G769" s="19" t="s">
        <v>57</v>
      </c>
      <c r="H769" s="22" t="s">
        <v>365</v>
      </c>
      <c r="I769" s="25" t="s">
        <v>2406</v>
      </c>
      <c r="J769" s="19" t="s">
        <v>635</v>
      </c>
      <c r="K769" s="19" t="s">
        <v>66</v>
      </c>
      <c r="L769" s="22"/>
      <c r="M769" s="26"/>
      <c r="N769" s="26"/>
      <c r="O769" s="26"/>
      <c r="P769" s="26"/>
      <c r="Q769" s="26"/>
    </row>
    <row r="770" ht="15.75" customHeight="1">
      <c r="A770" s="31" t="s">
        <v>39</v>
      </c>
      <c r="B770" s="9" t="s">
        <v>2400</v>
      </c>
      <c r="C770" s="19" t="s">
        <v>2407</v>
      </c>
      <c r="D770" s="22" t="s">
        <v>1765</v>
      </c>
      <c r="E770" s="19" t="s">
        <v>119</v>
      </c>
      <c r="F770" s="19" t="s">
        <v>335</v>
      </c>
      <c r="G770" s="19" t="s">
        <v>90</v>
      </c>
      <c r="H770" s="22" t="s">
        <v>155</v>
      </c>
      <c r="I770" s="25" t="s">
        <v>2408</v>
      </c>
      <c r="J770" s="19"/>
      <c r="K770" s="19" t="s">
        <v>100</v>
      </c>
      <c r="L770" s="22" t="s">
        <v>2409</v>
      </c>
      <c r="M770" s="26"/>
      <c r="N770" s="26"/>
      <c r="O770" s="26"/>
      <c r="P770" s="26"/>
      <c r="Q770" s="26"/>
    </row>
    <row r="771" ht="15.75" hidden="1" customHeight="1">
      <c r="A771" s="31" t="s">
        <v>39</v>
      </c>
      <c r="B771" s="9" t="s">
        <v>2400</v>
      </c>
      <c r="C771" s="19" t="s">
        <v>784</v>
      </c>
      <c r="D771" s="22" t="s">
        <v>2410</v>
      </c>
      <c r="E771" s="19" t="s">
        <v>109</v>
      </c>
      <c r="F771" s="19" t="s">
        <v>335</v>
      </c>
      <c r="G771" s="19" t="s">
        <v>135</v>
      </c>
      <c r="H771" s="24" t="s">
        <v>59</v>
      </c>
      <c r="I771" s="25" t="s">
        <v>2411</v>
      </c>
      <c r="J771" s="19"/>
      <c r="K771" s="19" t="s">
        <v>143</v>
      </c>
      <c r="L771" s="22" t="s">
        <v>2412</v>
      </c>
      <c r="M771" s="26"/>
      <c r="N771" s="26"/>
      <c r="O771" s="26"/>
      <c r="P771" s="26"/>
      <c r="Q771" s="26"/>
    </row>
    <row r="772" ht="15.75" customHeight="1">
      <c r="A772" s="31" t="s">
        <v>39</v>
      </c>
      <c r="B772" s="9" t="s">
        <v>2400</v>
      </c>
      <c r="C772" s="19" t="s">
        <v>2113</v>
      </c>
      <c r="D772" s="22" t="s">
        <v>818</v>
      </c>
      <c r="E772" s="19" t="s">
        <v>119</v>
      </c>
      <c r="F772" s="19" t="s">
        <v>335</v>
      </c>
      <c r="G772" s="19" t="s">
        <v>90</v>
      </c>
      <c r="H772" s="22" t="s">
        <v>155</v>
      </c>
      <c r="I772" s="25" t="s">
        <v>2413</v>
      </c>
      <c r="J772" s="19"/>
      <c r="K772" s="19" t="s">
        <v>112</v>
      </c>
      <c r="L772" s="22"/>
      <c r="M772" s="26"/>
      <c r="N772" s="26"/>
      <c r="O772" s="26"/>
      <c r="P772" s="26"/>
      <c r="Q772" s="26"/>
    </row>
    <row r="773" ht="15.75" customHeight="1">
      <c r="A773" s="31" t="s">
        <v>39</v>
      </c>
      <c r="B773" s="9" t="s">
        <v>2400</v>
      </c>
      <c r="C773" s="19" t="s">
        <v>2414</v>
      </c>
      <c r="D773" s="22" t="s">
        <v>2415</v>
      </c>
      <c r="E773" s="19" t="s">
        <v>119</v>
      </c>
      <c r="F773" s="19" t="s">
        <v>335</v>
      </c>
      <c r="G773" s="19" t="s">
        <v>90</v>
      </c>
      <c r="H773" s="22" t="s">
        <v>155</v>
      </c>
      <c r="I773" s="25" t="s">
        <v>2416</v>
      </c>
      <c r="J773" s="19"/>
      <c r="K773" s="19" t="s">
        <v>112</v>
      </c>
      <c r="L773" s="22"/>
      <c r="M773" s="26"/>
      <c r="N773" s="26"/>
      <c r="O773" s="26"/>
      <c r="P773" s="26"/>
      <c r="Q773" s="26"/>
    </row>
    <row r="774" ht="15.75" customHeight="1">
      <c r="A774" s="31" t="s">
        <v>39</v>
      </c>
      <c r="B774" s="9" t="s">
        <v>2400</v>
      </c>
      <c r="C774" s="19" t="s">
        <v>2117</v>
      </c>
      <c r="D774" s="22" t="s">
        <v>2417</v>
      </c>
      <c r="E774" s="19" t="s">
        <v>109</v>
      </c>
      <c r="F774" s="19" t="s">
        <v>2418</v>
      </c>
      <c r="G774" s="19" t="s">
        <v>90</v>
      </c>
      <c r="H774" s="22" t="s">
        <v>365</v>
      </c>
      <c r="I774" s="25" t="s">
        <v>2419</v>
      </c>
      <c r="J774" s="19" t="s">
        <v>319</v>
      </c>
      <c r="K774" s="19" t="s">
        <v>52</v>
      </c>
      <c r="L774" s="22"/>
      <c r="M774" s="26"/>
      <c r="N774" s="26"/>
      <c r="O774" s="26"/>
      <c r="P774" s="26"/>
      <c r="Q774" s="26"/>
    </row>
    <row r="775" ht="15.75" hidden="1" customHeight="1">
      <c r="A775" s="31" t="s">
        <v>39</v>
      </c>
      <c r="B775" s="9" t="s">
        <v>2400</v>
      </c>
      <c r="C775" s="19" t="s">
        <v>2420</v>
      </c>
      <c r="D775" s="22" t="s">
        <v>2421</v>
      </c>
      <c r="E775" s="19" t="s">
        <v>116</v>
      </c>
      <c r="F775" s="19" t="s">
        <v>2422</v>
      </c>
      <c r="G775" s="19" t="s">
        <v>57</v>
      </c>
      <c r="H775" s="22" t="s">
        <v>365</v>
      </c>
      <c r="I775" s="25" t="s">
        <v>2423</v>
      </c>
      <c r="J775" s="19" t="s">
        <v>2193</v>
      </c>
      <c r="K775" s="19" t="s">
        <v>66</v>
      </c>
      <c r="L775" s="22"/>
      <c r="M775" s="26"/>
      <c r="N775" s="26"/>
      <c r="O775" s="26"/>
      <c r="P775" s="26"/>
      <c r="Q775" s="26"/>
    </row>
    <row r="776" ht="15.75" hidden="1" customHeight="1">
      <c r="A776" s="31" t="s">
        <v>39</v>
      </c>
      <c r="B776" s="9" t="s">
        <v>2400</v>
      </c>
      <c r="C776" s="19" t="s">
        <v>2424</v>
      </c>
      <c r="D776" s="22" t="s">
        <v>2425</v>
      </c>
      <c r="E776" s="19" t="s">
        <v>116</v>
      </c>
      <c r="F776" s="19" t="s">
        <v>241</v>
      </c>
      <c r="G776" s="19" t="s">
        <v>57</v>
      </c>
      <c r="H776" s="22" t="s">
        <v>365</v>
      </c>
      <c r="I776" s="25" t="s">
        <v>2426</v>
      </c>
      <c r="J776" s="19"/>
      <c r="K776" s="19" t="s">
        <v>13</v>
      </c>
      <c r="L776" s="22" t="s">
        <v>1521</v>
      </c>
      <c r="M776" s="26"/>
      <c r="N776" s="26"/>
      <c r="O776" s="26"/>
      <c r="P776" s="26"/>
      <c r="Q776" s="26"/>
    </row>
    <row r="777" ht="15.75" hidden="1" customHeight="1">
      <c r="A777" s="31" t="s">
        <v>39</v>
      </c>
      <c r="B777" s="9" t="s">
        <v>2400</v>
      </c>
      <c r="C777" s="19" t="s">
        <v>183</v>
      </c>
      <c r="D777" s="22" t="s">
        <v>2427</v>
      </c>
      <c r="E777" s="19" t="s">
        <v>127</v>
      </c>
      <c r="F777" s="19" t="s">
        <v>295</v>
      </c>
      <c r="G777" s="19" t="s">
        <v>135</v>
      </c>
      <c r="H777" s="24" t="s">
        <v>59</v>
      </c>
      <c r="I777" s="25" t="s">
        <v>2428</v>
      </c>
      <c r="J777" s="19"/>
      <c r="K777" s="19" t="s">
        <v>100</v>
      </c>
      <c r="L777" s="22" t="s">
        <v>2429</v>
      </c>
      <c r="M777" s="26"/>
      <c r="N777" s="26"/>
      <c r="O777" s="26"/>
      <c r="P777" s="26"/>
      <c r="Q777" s="26"/>
    </row>
    <row r="778" ht="15.75" hidden="1" customHeight="1">
      <c r="A778" s="31" t="s">
        <v>39</v>
      </c>
      <c r="B778" s="9" t="s">
        <v>2400</v>
      </c>
      <c r="C778" s="19" t="s">
        <v>2430</v>
      </c>
      <c r="D778" s="22" t="s">
        <v>2421</v>
      </c>
      <c r="E778" s="19" t="s">
        <v>116</v>
      </c>
      <c r="F778" s="19" t="s">
        <v>421</v>
      </c>
      <c r="G778" s="19" t="s">
        <v>57</v>
      </c>
      <c r="H778" s="22" t="s">
        <v>365</v>
      </c>
      <c r="I778" s="25" t="s">
        <v>2431</v>
      </c>
      <c r="J778" s="19" t="s">
        <v>1445</v>
      </c>
      <c r="K778" s="19" t="s">
        <v>66</v>
      </c>
      <c r="L778" s="22"/>
      <c r="M778" s="26"/>
      <c r="N778" s="26"/>
      <c r="O778" s="26"/>
      <c r="P778" s="26"/>
      <c r="Q778" s="26"/>
    </row>
    <row r="779" ht="15.75" hidden="1" customHeight="1">
      <c r="A779" s="31" t="s">
        <v>39</v>
      </c>
      <c r="B779" s="9" t="s">
        <v>2400</v>
      </c>
      <c r="C779" s="19" t="s">
        <v>1117</v>
      </c>
      <c r="D779" s="22" t="s">
        <v>2432</v>
      </c>
      <c r="E779" s="19" t="s">
        <v>109</v>
      </c>
      <c r="F779" s="19" t="s">
        <v>2433</v>
      </c>
      <c r="G779" s="19" t="s">
        <v>142</v>
      </c>
      <c r="H779" s="24" t="s">
        <v>59</v>
      </c>
      <c r="I779" s="25" t="s">
        <v>2434</v>
      </c>
      <c r="J779" s="19" t="s">
        <v>2435</v>
      </c>
      <c r="K779" s="19" t="s">
        <v>266</v>
      </c>
      <c r="L779" s="22" t="s">
        <v>2436</v>
      </c>
      <c r="M779" s="26"/>
      <c r="N779" s="26"/>
      <c r="O779" s="26"/>
      <c r="P779" s="26"/>
      <c r="Q779" s="26"/>
    </row>
    <row r="780" ht="15.75" customHeight="1">
      <c r="A780" s="31" t="s">
        <v>39</v>
      </c>
      <c r="B780" s="9" t="s">
        <v>2400</v>
      </c>
      <c r="C780" s="19" t="s">
        <v>2437</v>
      </c>
      <c r="D780" s="22" t="s">
        <v>2438</v>
      </c>
      <c r="E780" s="19" t="s">
        <v>119</v>
      </c>
      <c r="F780" s="19" t="s">
        <v>335</v>
      </c>
      <c r="G780" s="19" t="s">
        <v>90</v>
      </c>
      <c r="H780" s="22" t="s">
        <v>155</v>
      </c>
      <c r="I780" s="25" t="s">
        <v>2439</v>
      </c>
      <c r="J780" s="19"/>
      <c r="K780" s="19" t="s">
        <v>100</v>
      </c>
      <c r="L780" s="22" t="s">
        <v>2440</v>
      </c>
      <c r="M780" s="26"/>
      <c r="N780" s="26"/>
      <c r="O780" s="26"/>
      <c r="P780" s="26"/>
      <c r="Q780" s="26"/>
    </row>
    <row r="781" ht="15.75" customHeight="1">
      <c r="A781" s="31" t="s">
        <v>39</v>
      </c>
      <c r="B781" s="9" t="s">
        <v>2400</v>
      </c>
      <c r="C781" s="19" t="s">
        <v>2441</v>
      </c>
      <c r="D781" s="22" t="s">
        <v>2442</v>
      </c>
      <c r="E781" s="19" t="s">
        <v>109</v>
      </c>
      <c r="F781" s="19" t="s">
        <v>295</v>
      </c>
      <c r="G781" s="19" t="s">
        <v>90</v>
      </c>
      <c r="H781" s="22" t="s">
        <v>155</v>
      </c>
      <c r="I781" s="25" t="s">
        <v>2443</v>
      </c>
      <c r="J781" s="19"/>
      <c r="K781" s="19" t="s">
        <v>100</v>
      </c>
      <c r="L781" s="22" t="s">
        <v>2444</v>
      </c>
      <c r="M781" s="26"/>
      <c r="N781" s="26"/>
      <c r="O781" s="26"/>
      <c r="P781" s="26"/>
      <c r="Q781" s="26"/>
    </row>
    <row r="782" ht="15.75" customHeight="1">
      <c r="A782" s="31" t="s">
        <v>39</v>
      </c>
      <c r="B782" s="9" t="s">
        <v>2400</v>
      </c>
      <c r="C782" s="19" t="s">
        <v>2445</v>
      </c>
      <c r="D782" s="22" t="s">
        <v>2446</v>
      </c>
      <c r="E782" s="19" t="s">
        <v>109</v>
      </c>
      <c r="F782" s="19" t="s">
        <v>2447</v>
      </c>
      <c r="G782" s="19" t="s">
        <v>90</v>
      </c>
      <c r="H782" s="22" t="s">
        <v>365</v>
      </c>
      <c r="I782" s="25" t="s">
        <v>1806</v>
      </c>
      <c r="J782" s="19"/>
      <c r="K782" s="19" t="s">
        <v>125</v>
      </c>
      <c r="L782" s="22"/>
      <c r="M782" s="26"/>
      <c r="N782" s="26"/>
      <c r="O782" s="26"/>
      <c r="P782" s="26"/>
      <c r="Q782" s="26"/>
    </row>
    <row r="783" ht="15.75" customHeight="1">
      <c r="A783" s="31" t="s">
        <v>39</v>
      </c>
      <c r="B783" s="9" t="s">
        <v>2400</v>
      </c>
      <c r="C783" s="19" t="s">
        <v>2445</v>
      </c>
      <c r="D783" s="22" t="s">
        <v>2448</v>
      </c>
      <c r="E783" s="19" t="s">
        <v>119</v>
      </c>
      <c r="F783" s="19" t="s">
        <v>335</v>
      </c>
      <c r="G783" s="19" t="s">
        <v>90</v>
      </c>
      <c r="H783" s="22" t="s">
        <v>155</v>
      </c>
      <c r="I783" s="25" t="s">
        <v>1806</v>
      </c>
      <c r="J783" s="19" t="s">
        <v>2449</v>
      </c>
      <c r="K783" s="19" t="s">
        <v>130</v>
      </c>
      <c r="L783" s="22"/>
      <c r="M783" s="26"/>
      <c r="N783" s="26"/>
      <c r="O783" s="26"/>
      <c r="P783" s="26"/>
      <c r="Q783" s="26"/>
    </row>
    <row r="784" ht="15.75" hidden="1" customHeight="1">
      <c r="A784" s="31" t="s">
        <v>39</v>
      </c>
      <c r="B784" s="9" t="s">
        <v>2450</v>
      </c>
      <c r="C784" s="19" t="s">
        <v>2451</v>
      </c>
      <c r="D784" s="22" t="s">
        <v>2452</v>
      </c>
      <c r="E784" s="19" t="s">
        <v>124</v>
      </c>
      <c r="F784" s="19" t="s">
        <v>335</v>
      </c>
      <c r="G784" s="19" t="s">
        <v>57</v>
      </c>
      <c r="H784" s="22" t="s">
        <v>365</v>
      </c>
      <c r="I784" s="25" t="s">
        <v>2453</v>
      </c>
      <c r="J784" s="19" t="s">
        <v>373</v>
      </c>
      <c r="K784" s="19" t="s">
        <v>242</v>
      </c>
      <c r="L784" s="22" t="s">
        <v>2454</v>
      </c>
      <c r="M784" s="26"/>
      <c r="N784" s="26"/>
      <c r="O784" s="26"/>
      <c r="P784" s="26"/>
      <c r="Q784" s="26"/>
    </row>
    <row r="785" ht="15.75" hidden="1" customHeight="1">
      <c r="A785" s="31" t="s">
        <v>39</v>
      </c>
      <c r="B785" s="9" t="s">
        <v>2450</v>
      </c>
      <c r="C785" s="19" t="s">
        <v>2455</v>
      </c>
      <c r="D785" s="22" t="s">
        <v>2456</v>
      </c>
      <c r="E785" s="19" t="s">
        <v>54</v>
      </c>
      <c r="F785" s="19" t="s">
        <v>2457</v>
      </c>
      <c r="G785" s="19" t="s">
        <v>135</v>
      </c>
      <c r="H785" s="22" t="s">
        <v>365</v>
      </c>
      <c r="I785" s="25" t="s">
        <v>2458</v>
      </c>
      <c r="J785" s="19" t="s">
        <v>1106</v>
      </c>
      <c r="K785" s="19" t="s">
        <v>156</v>
      </c>
      <c r="L785" s="22"/>
      <c r="M785" s="26"/>
      <c r="N785" s="26"/>
      <c r="O785" s="26"/>
      <c r="P785" s="26"/>
      <c r="Q785" s="26"/>
    </row>
    <row r="786" ht="15.75" hidden="1" customHeight="1">
      <c r="A786" s="31" t="s">
        <v>39</v>
      </c>
      <c r="B786" s="9" t="s">
        <v>2450</v>
      </c>
      <c r="C786" s="19" t="s">
        <v>2455</v>
      </c>
      <c r="D786" s="22" t="s">
        <v>2459</v>
      </c>
      <c r="E786" s="19" t="s">
        <v>54</v>
      </c>
      <c r="F786" s="19" t="s">
        <v>2217</v>
      </c>
      <c r="G786" s="19" t="s">
        <v>135</v>
      </c>
      <c r="H786" s="22" t="s">
        <v>365</v>
      </c>
      <c r="I786" s="25" t="s">
        <v>2460</v>
      </c>
      <c r="J786" s="19" t="s">
        <v>1135</v>
      </c>
      <c r="K786" s="19" t="s">
        <v>156</v>
      </c>
      <c r="L786" s="22"/>
      <c r="M786" s="26"/>
      <c r="N786" s="26"/>
      <c r="O786" s="26"/>
      <c r="P786" s="26"/>
      <c r="Q786" s="26"/>
    </row>
    <row r="787" ht="15.75" hidden="1" customHeight="1">
      <c r="A787" s="31" t="s">
        <v>39</v>
      </c>
      <c r="B787" s="9" t="s">
        <v>2450</v>
      </c>
      <c r="C787" s="19" t="s">
        <v>2461</v>
      </c>
      <c r="D787" s="22" t="s">
        <v>2462</v>
      </c>
      <c r="E787" s="19" t="s">
        <v>54</v>
      </c>
      <c r="F787" s="19" t="s">
        <v>89</v>
      </c>
      <c r="G787" s="19" t="s">
        <v>135</v>
      </c>
      <c r="H787" s="22" t="s">
        <v>365</v>
      </c>
      <c r="I787" s="25" t="s">
        <v>2463</v>
      </c>
      <c r="J787" s="19" t="s">
        <v>650</v>
      </c>
      <c r="K787" s="19" t="s">
        <v>82</v>
      </c>
      <c r="L787" s="22" t="s">
        <v>2464</v>
      </c>
      <c r="M787" s="26"/>
      <c r="N787" s="26"/>
      <c r="O787" s="26"/>
      <c r="P787" s="26"/>
      <c r="Q787" s="26"/>
    </row>
    <row r="788" ht="15.75" hidden="1" customHeight="1">
      <c r="A788" s="31" t="s">
        <v>39</v>
      </c>
      <c r="B788" s="9" t="s">
        <v>2450</v>
      </c>
      <c r="C788" s="19" t="s">
        <v>2465</v>
      </c>
      <c r="D788" s="22" t="s">
        <v>2466</v>
      </c>
      <c r="E788" s="19" t="s">
        <v>54</v>
      </c>
      <c r="F788" s="19" t="s">
        <v>2467</v>
      </c>
      <c r="G788" s="19" t="s">
        <v>135</v>
      </c>
      <c r="H788" s="22" t="s">
        <v>365</v>
      </c>
      <c r="I788" s="25" t="s">
        <v>2468</v>
      </c>
      <c r="J788" s="19"/>
      <c r="K788" s="19" t="s">
        <v>40</v>
      </c>
      <c r="L788" s="22"/>
      <c r="M788" s="26"/>
      <c r="N788" s="26"/>
      <c r="O788" s="26"/>
      <c r="P788" s="26"/>
      <c r="Q788" s="26"/>
    </row>
    <row r="789" ht="15.75" hidden="1" customHeight="1">
      <c r="A789" s="31" t="s">
        <v>39</v>
      </c>
      <c r="B789" s="9" t="s">
        <v>2450</v>
      </c>
      <c r="C789" s="19" t="s">
        <v>2313</v>
      </c>
      <c r="D789" s="22" t="s">
        <v>2314</v>
      </c>
      <c r="E789" s="19" t="s">
        <v>116</v>
      </c>
      <c r="F789" s="19" t="s">
        <v>488</v>
      </c>
      <c r="G789" s="19" t="s">
        <v>135</v>
      </c>
      <c r="H789" s="22" t="s">
        <v>155</v>
      </c>
      <c r="I789" s="25" t="s">
        <v>2315</v>
      </c>
      <c r="J789" s="19" t="s">
        <v>337</v>
      </c>
      <c r="K789" s="19" t="s">
        <v>78</v>
      </c>
      <c r="L789" s="22" t="s">
        <v>723</v>
      </c>
      <c r="M789" s="26"/>
      <c r="N789" s="26"/>
      <c r="O789" s="26"/>
      <c r="P789" s="26"/>
      <c r="Q789" s="26"/>
    </row>
    <row r="790" ht="15.75" customHeight="1">
      <c r="A790" s="31" t="s">
        <v>39</v>
      </c>
      <c r="B790" s="9" t="s">
        <v>2450</v>
      </c>
      <c r="C790" s="19" t="s">
        <v>2469</v>
      </c>
      <c r="D790" s="22" t="s">
        <v>702</v>
      </c>
      <c r="E790" s="19" t="s">
        <v>124</v>
      </c>
      <c r="F790" s="19" t="s">
        <v>2470</v>
      </c>
      <c r="G790" s="19" t="s">
        <v>90</v>
      </c>
      <c r="H790" s="22" t="s">
        <v>365</v>
      </c>
      <c r="I790" s="25" t="s">
        <v>2471</v>
      </c>
      <c r="J790" s="19" t="s">
        <v>1850</v>
      </c>
      <c r="K790" s="19" t="s">
        <v>52</v>
      </c>
      <c r="L790" s="22" t="s">
        <v>471</v>
      </c>
      <c r="M790" s="26"/>
      <c r="N790" s="26"/>
      <c r="O790" s="26"/>
      <c r="P790" s="26"/>
      <c r="Q790" s="26"/>
    </row>
    <row r="791" ht="15.75" hidden="1" customHeight="1">
      <c r="A791" s="31" t="s">
        <v>39</v>
      </c>
      <c r="B791" s="9" t="s">
        <v>2450</v>
      </c>
      <c r="C791" s="19" t="s">
        <v>2472</v>
      </c>
      <c r="D791" s="22" t="s">
        <v>2473</v>
      </c>
      <c r="E791" s="19" t="s">
        <v>54</v>
      </c>
      <c r="F791" s="19" t="s">
        <v>2217</v>
      </c>
      <c r="G791" s="19" t="s">
        <v>135</v>
      </c>
      <c r="H791" s="22" t="s">
        <v>365</v>
      </c>
      <c r="I791" s="25" t="s">
        <v>2474</v>
      </c>
      <c r="J791" s="19" t="s">
        <v>811</v>
      </c>
      <c r="K791" s="19" t="s">
        <v>82</v>
      </c>
      <c r="L791" s="22"/>
      <c r="M791" s="26"/>
      <c r="N791" s="26"/>
      <c r="O791" s="26"/>
      <c r="P791" s="26"/>
      <c r="Q791" s="26"/>
    </row>
    <row r="792" ht="15.75" hidden="1" customHeight="1">
      <c r="A792" s="31" t="s">
        <v>39</v>
      </c>
      <c r="B792" s="9" t="s">
        <v>2450</v>
      </c>
      <c r="C792" s="19" t="s">
        <v>2215</v>
      </c>
      <c r="D792" s="22" t="s">
        <v>2475</v>
      </c>
      <c r="E792" s="19" t="s">
        <v>54</v>
      </c>
      <c r="F792" s="19" t="s">
        <v>2217</v>
      </c>
      <c r="G792" s="19" t="s">
        <v>135</v>
      </c>
      <c r="H792" s="22" t="s">
        <v>365</v>
      </c>
      <c r="I792" s="25" t="s">
        <v>2476</v>
      </c>
      <c r="J792" s="19"/>
      <c r="K792" s="19" t="s">
        <v>40</v>
      </c>
      <c r="L792" s="22"/>
      <c r="M792" s="26"/>
      <c r="N792" s="26"/>
      <c r="O792" s="26"/>
      <c r="P792" s="26"/>
      <c r="Q792" s="26"/>
    </row>
    <row r="793" ht="15.75" hidden="1" customHeight="1">
      <c r="A793" s="31" t="s">
        <v>39</v>
      </c>
      <c r="B793" s="9" t="s">
        <v>2450</v>
      </c>
      <c r="C793" s="19" t="s">
        <v>2477</v>
      </c>
      <c r="D793" s="22" t="s">
        <v>2478</v>
      </c>
      <c r="E793" s="19" t="s">
        <v>54</v>
      </c>
      <c r="F793" s="19" t="s">
        <v>1114</v>
      </c>
      <c r="G793" s="19" t="s">
        <v>135</v>
      </c>
      <c r="H793" s="22" t="s">
        <v>365</v>
      </c>
      <c r="I793" s="25" t="s">
        <v>2479</v>
      </c>
      <c r="J793" s="19"/>
      <c r="K793" s="19" t="s">
        <v>40</v>
      </c>
      <c r="L793" s="22"/>
      <c r="M793" s="26"/>
      <c r="N793" s="26"/>
      <c r="O793" s="26"/>
      <c r="P793" s="26"/>
      <c r="Q793" s="26"/>
    </row>
    <row r="794" ht="15.75" hidden="1" customHeight="1">
      <c r="A794" s="31" t="s">
        <v>39</v>
      </c>
      <c r="B794" s="9" t="s">
        <v>2450</v>
      </c>
      <c r="C794" s="19" t="s">
        <v>2480</v>
      </c>
      <c r="D794" s="22" t="s">
        <v>2481</v>
      </c>
      <c r="E794" s="19" t="s">
        <v>54</v>
      </c>
      <c r="F794" s="19" t="s">
        <v>2482</v>
      </c>
      <c r="G794" s="19" t="s">
        <v>135</v>
      </c>
      <c r="H794" s="22" t="s">
        <v>365</v>
      </c>
      <c r="I794" s="25" t="s">
        <v>2483</v>
      </c>
      <c r="J794" s="19" t="s">
        <v>2484</v>
      </c>
      <c r="K794" s="19" t="s">
        <v>40</v>
      </c>
      <c r="L794" s="22"/>
      <c r="M794" s="26"/>
      <c r="N794" s="26"/>
      <c r="O794" s="26"/>
      <c r="P794" s="26"/>
      <c r="Q794" s="26"/>
    </row>
    <row r="795" ht="15.75" hidden="1" customHeight="1">
      <c r="A795" s="31" t="s">
        <v>39</v>
      </c>
      <c r="B795" s="9" t="s">
        <v>2450</v>
      </c>
      <c r="C795" s="19" t="s">
        <v>2485</v>
      </c>
      <c r="D795" s="22" t="s">
        <v>2486</v>
      </c>
      <c r="E795" s="19" t="s">
        <v>54</v>
      </c>
      <c r="F795" s="19" t="s">
        <v>2201</v>
      </c>
      <c r="G795" s="19" t="s">
        <v>135</v>
      </c>
      <c r="H795" s="22" t="s">
        <v>365</v>
      </c>
      <c r="I795" s="25" t="s">
        <v>2487</v>
      </c>
      <c r="J795" s="19" t="s">
        <v>490</v>
      </c>
      <c r="K795" s="19" t="s">
        <v>40</v>
      </c>
      <c r="L795" s="22" t="s">
        <v>2488</v>
      </c>
      <c r="M795" s="26"/>
      <c r="N795" s="26"/>
      <c r="O795" s="26"/>
      <c r="P795" s="26"/>
      <c r="Q795" s="26"/>
    </row>
    <row r="796" ht="15.75" hidden="1" customHeight="1">
      <c r="A796" s="31" t="s">
        <v>39</v>
      </c>
      <c r="B796" s="9" t="s">
        <v>2450</v>
      </c>
      <c r="C796" s="19" t="s">
        <v>1688</v>
      </c>
      <c r="D796" s="22" t="s">
        <v>2489</v>
      </c>
      <c r="E796" s="19" t="s">
        <v>54</v>
      </c>
      <c r="F796" s="19" t="s">
        <v>631</v>
      </c>
      <c r="G796" s="19" t="s">
        <v>135</v>
      </c>
      <c r="H796" s="22" t="s">
        <v>365</v>
      </c>
      <c r="I796" s="25" t="s">
        <v>1690</v>
      </c>
      <c r="J796" s="19"/>
      <c r="K796" s="19" t="s">
        <v>137</v>
      </c>
      <c r="L796" s="22"/>
      <c r="M796" s="26"/>
      <c r="N796" s="26"/>
      <c r="O796" s="26"/>
      <c r="P796" s="26"/>
      <c r="Q796" s="26"/>
    </row>
    <row r="797" ht="15.75" hidden="1" customHeight="1">
      <c r="A797" s="31" t="s">
        <v>39</v>
      </c>
      <c r="B797" s="9" t="s">
        <v>2450</v>
      </c>
      <c r="C797" s="19" t="s">
        <v>2490</v>
      </c>
      <c r="D797" s="22" t="s">
        <v>2491</v>
      </c>
      <c r="E797" s="19" t="s">
        <v>116</v>
      </c>
      <c r="F797" s="19" t="s">
        <v>508</v>
      </c>
      <c r="G797" s="19" t="s">
        <v>135</v>
      </c>
      <c r="H797" s="22" t="s">
        <v>155</v>
      </c>
      <c r="I797" s="25" t="s">
        <v>2492</v>
      </c>
      <c r="J797" s="19" t="s">
        <v>456</v>
      </c>
      <c r="K797" s="19" t="s">
        <v>78</v>
      </c>
      <c r="L797" s="22" t="s">
        <v>723</v>
      </c>
      <c r="M797" s="26"/>
      <c r="N797" s="26"/>
      <c r="O797" s="26"/>
      <c r="P797" s="26"/>
      <c r="Q797" s="26"/>
    </row>
    <row r="798" ht="15.75" hidden="1" customHeight="1">
      <c r="A798" s="31" t="s">
        <v>39</v>
      </c>
      <c r="B798" s="9" t="s">
        <v>2450</v>
      </c>
      <c r="C798" s="19" t="s">
        <v>2493</v>
      </c>
      <c r="D798" s="22" t="s">
        <v>2494</v>
      </c>
      <c r="E798" s="19" t="s">
        <v>54</v>
      </c>
      <c r="F798" s="19" t="s">
        <v>2495</v>
      </c>
      <c r="G798" s="19" t="s">
        <v>135</v>
      </c>
      <c r="H798" s="22" t="s">
        <v>365</v>
      </c>
      <c r="I798" s="25" t="s">
        <v>2496</v>
      </c>
      <c r="J798" s="19"/>
      <c r="K798" s="19" t="s">
        <v>13</v>
      </c>
      <c r="L798" s="22"/>
      <c r="M798" s="26"/>
      <c r="N798" s="26"/>
      <c r="O798" s="26"/>
      <c r="P798" s="26"/>
      <c r="Q798" s="26"/>
    </row>
    <row r="799" ht="15.75" customHeight="1">
      <c r="A799" s="31" t="s">
        <v>39</v>
      </c>
      <c r="B799" s="9" t="s">
        <v>2450</v>
      </c>
      <c r="C799" s="19" t="s">
        <v>1855</v>
      </c>
      <c r="D799" s="22" t="s">
        <v>2497</v>
      </c>
      <c r="E799" s="19" t="s">
        <v>115</v>
      </c>
      <c r="F799" s="19" t="s">
        <v>2470</v>
      </c>
      <c r="G799" s="19" t="s">
        <v>90</v>
      </c>
      <c r="H799" s="24" t="s">
        <v>59</v>
      </c>
      <c r="I799" s="25" t="s">
        <v>2498</v>
      </c>
      <c r="J799" s="19" t="s">
        <v>1445</v>
      </c>
      <c r="K799" s="19" t="s">
        <v>40</v>
      </c>
      <c r="L799" s="22" t="s">
        <v>2499</v>
      </c>
      <c r="M799" s="26"/>
      <c r="N799" s="26"/>
      <c r="O799" s="26"/>
      <c r="P799" s="26"/>
      <c r="Q799" s="26"/>
    </row>
    <row r="800" ht="15.75" customHeight="1">
      <c r="A800" s="31" t="s">
        <v>39</v>
      </c>
      <c r="B800" s="9" t="s">
        <v>2450</v>
      </c>
      <c r="C800" s="19" t="s">
        <v>1855</v>
      </c>
      <c r="D800" s="22" t="s">
        <v>2500</v>
      </c>
      <c r="E800" s="19" t="s">
        <v>115</v>
      </c>
      <c r="F800" s="19" t="s">
        <v>2470</v>
      </c>
      <c r="G800" s="19" t="s">
        <v>90</v>
      </c>
      <c r="H800" s="24" t="s">
        <v>59</v>
      </c>
      <c r="I800" s="25" t="s">
        <v>2498</v>
      </c>
      <c r="J800" s="19" t="s">
        <v>1445</v>
      </c>
      <c r="K800" s="19" t="s">
        <v>40</v>
      </c>
      <c r="L800" s="22" t="s">
        <v>1521</v>
      </c>
      <c r="M800" s="26"/>
      <c r="N800" s="26"/>
      <c r="O800" s="26"/>
      <c r="P800" s="26"/>
      <c r="Q800" s="26"/>
    </row>
    <row r="801" ht="15.75" customHeight="1">
      <c r="A801" s="31" t="s">
        <v>39</v>
      </c>
      <c r="B801" s="9" t="s">
        <v>2450</v>
      </c>
      <c r="C801" s="19" t="s">
        <v>1855</v>
      </c>
      <c r="D801" s="22" t="s">
        <v>2501</v>
      </c>
      <c r="E801" s="19" t="s">
        <v>115</v>
      </c>
      <c r="F801" s="19" t="s">
        <v>2470</v>
      </c>
      <c r="G801" s="19" t="s">
        <v>90</v>
      </c>
      <c r="H801" s="24" t="s">
        <v>59</v>
      </c>
      <c r="I801" s="25" t="s">
        <v>2502</v>
      </c>
      <c r="J801" s="19" t="s">
        <v>619</v>
      </c>
      <c r="K801" s="19" t="s">
        <v>92</v>
      </c>
      <c r="L801" s="22"/>
      <c r="M801" s="26"/>
      <c r="N801" s="26"/>
      <c r="O801" s="26"/>
      <c r="P801" s="26"/>
      <c r="Q801" s="26"/>
    </row>
    <row r="802" ht="15.75" hidden="1" customHeight="1">
      <c r="A802" s="31" t="s">
        <v>39</v>
      </c>
      <c r="B802" s="9" t="s">
        <v>2450</v>
      </c>
      <c r="C802" s="19" t="s">
        <v>2503</v>
      </c>
      <c r="D802" s="22" t="s">
        <v>1522</v>
      </c>
      <c r="E802" s="19" t="s">
        <v>54</v>
      </c>
      <c r="F802" s="19" t="s">
        <v>2504</v>
      </c>
      <c r="G802" s="19" t="s">
        <v>135</v>
      </c>
      <c r="H802" s="22" t="s">
        <v>365</v>
      </c>
      <c r="I802" s="25" t="s">
        <v>2505</v>
      </c>
      <c r="J802" s="19"/>
      <c r="K802" s="19" t="s">
        <v>13</v>
      </c>
      <c r="L802" s="22" t="s">
        <v>2506</v>
      </c>
      <c r="M802" s="26"/>
      <c r="N802" s="26"/>
      <c r="O802" s="26"/>
      <c r="P802" s="26"/>
      <c r="Q802" s="26"/>
    </row>
    <row r="803" ht="15.75" hidden="1" customHeight="1">
      <c r="A803" s="31" t="s">
        <v>39</v>
      </c>
      <c r="B803" s="9" t="s">
        <v>2450</v>
      </c>
      <c r="C803" s="19" t="s">
        <v>2098</v>
      </c>
      <c r="D803" s="22" t="s">
        <v>2507</v>
      </c>
      <c r="E803" s="19" t="s">
        <v>54</v>
      </c>
      <c r="F803" s="19" t="s">
        <v>103</v>
      </c>
      <c r="G803" s="19" t="s">
        <v>135</v>
      </c>
      <c r="H803" s="22" t="s">
        <v>365</v>
      </c>
      <c r="I803" s="25" t="s">
        <v>2100</v>
      </c>
      <c r="J803" s="19" t="s">
        <v>2508</v>
      </c>
      <c r="K803" s="19" t="s">
        <v>40</v>
      </c>
      <c r="L803" s="22" t="s">
        <v>2509</v>
      </c>
      <c r="M803" s="26"/>
      <c r="N803" s="26"/>
      <c r="O803" s="26"/>
      <c r="P803" s="26"/>
      <c r="Q803" s="26"/>
    </row>
    <row r="804" ht="15.75" hidden="1" customHeight="1">
      <c r="A804" s="31" t="s">
        <v>39</v>
      </c>
      <c r="B804" s="9" t="s">
        <v>2450</v>
      </c>
      <c r="C804" s="19" t="s">
        <v>2510</v>
      </c>
      <c r="D804" s="22" t="s">
        <v>2511</v>
      </c>
      <c r="E804" s="19" t="s">
        <v>54</v>
      </c>
      <c r="F804" s="19" t="s">
        <v>2512</v>
      </c>
      <c r="G804" s="19" t="s">
        <v>135</v>
      </c>
      <c r="H804" s="22" t="s">
        <v>365</v>
      </c>
      <c r="I804" s="25" t="s">
        <v>2513</v>
      </c>
      <c r="J804" s="19" t="s">
        <v>337</v>
      </c>
      <c r="K804" s="19" t="s">
        <v>156</v>
      </c>
      <c r="L804" s="22"/>
      <c r="M804" s="26"/>
      <c r="N804" s="26"/>
      <c r="O804" s="26"/>
      <c r="P804" s="26"/>
      <c r="Q804" s="26"/>
    </row>
    <row r="805" ht="15.75" hidden="1" customHeight="1">
      <c r="A805" s="31" t="s">
        <v>39</v>
      </c>
      <c r="B805" s="9" t="s">
        <v>2450</v>
      </c>
      <c r="C805" s="19" t="s">
        <v>2510</v>
      </c>
      <c r="D805" s="22" t="s">
        <v>2514</v>
      </c>
      <c r="E805" s="19" t="s">
        <v>54</v>
      </c>
      <c r="F805" s="19" t="s">
        <v>2512</v>
      </c>
      <c r="G805" s="19" t="s">
        <v>135</v>
      </c>
      <c r="H805" s="22" t="s">
        <v>365</v>
      </c>
      <c r="I805" s="25" t="s">
        <v>2515</v>
      </c>
      <c r="J805" s="19"/>
      <c r="K805" s="19" t="s">
        <v>40</v>
      </c>
      <c r="L805" s="22"/>
      <c r="M805" s="26"/>
      <c r="N805" s="26"/>
      <c r="O805" s="26"/>
      <c r="P805" s="26"/>
      <c r="Q805" s="26"/>
    </row>
    <row r="806" ht="15.75" hidden="1" customHeight="1">
      <c r="A806" s="31" t="s">
        <v>39</v>
      </c>
      <c r="B806" s="9" t="s">
        <v>2450</v>
      </c>
      <c r="C806" s="19" t="s">
        <v>2516</v>
      </c>
      <c r="D806" s="22" t="s">
        <v>2517</v>
      </c>
      <c r="E806" s="19" t="s">
        <v>54</v>
      </c>
      <c r="F806" s="19" t="s">
        <v>2518</v>
      </c>
      <c r="G806" s="19" t="s">
        <v>135</v>
      </c>
      <c r="H806" s="22" t="s">
        <v>365</v>
      </c>
      <c r="I806" s="25" t="s">
        <v>2519</v>
      </c>
      <c r="J806" s="19"/>
      <c r="K806" s="19" t="s">
        <v>40</v>
      </c>
      <c r="L806" s="22"/>
      <c r="M806" s="26"/>
      <c r="N806" s="26"/>
      <c r="O806" s="26"/>
      <c r="P806" s="26"/>
      <c r="Q806" s="26"/>
    </row>
    <row r="807" ht="15.75" hidden="1" customHeight="1">
      <c r="A807" s="31" t="s">
        <v>39</v>
      </c>
      <c r="B807" s="9" t="s">
        <v>2450</v>
      </c>
      <c r="C807" s="19" t="s">
        <v>2520</v>
      </c>
      <c r="D807" s="22" t="s">
        <v>1456</v>
      </c>
      <c r="E807" s="19" t="s">
        <v>54</v>
      </c>
      <c r="F807" s="19" t="s">
        <v>1291</v>
      </c>
      <c r="G807" s="19" t="s">
        <v>135</v>
      </c>
      <c r="H807" s="22" t="s">
        <v>365</v>
      </c>
      <c r="I807" s="25" t="s">
        <v>2521</v>
      </c>
      <c r="J807" s="19" t="s">
        <v>941</v>
      </c>
      <c r="K807" s="19" t="s">
        <v>82</v>
      </c>
      <c r="L807" s="22"/>
      <c r="M807" s="26"/>
      <c r="N807" s="26"/>
      <c r="O807" s="26"/>
      <c r="P807" s="26"/>
      <c r="Q807" s="26"/>
    </row>
    <row r="808" ht="15.75" hidden="1" customHeight="1">
      <c r="A808" s="31" t="s">
        <v>39</v>
      </c>
      <c r="B808" s="9" t="s">
        <v>2450</v>
      </c>
      <c r="C808" s="19" t="s">
        <v>2522</v>
      </c>
      <c r="D808" s="22" t="s">
        <v>2523</v>
      </c>
      <c r="E808" s="19" t="s">
        <v>54</v>
      </c>
      <c r="F808" s="19" t="s">
        <v>364</v>
      </c>
      <c r="G808" s="19" t="s">
        <v>142</v>
      </c>
      <c r="H808" s="22" t="s">
        <v>365</v>
      </c>
      <c r="I808" s="25" t="s">
        <v>2524</v>
      </c>
      <c r="J808" s="19" t="s">
        <v>2525</v>
      </c>
      <c r="K808" s="19" t="s">
        <v>145</v>
      </c>
      <c r="L808" s="22" t="s">
        <v>2526</v>
      </c>
      <c r="M808" s="26"/>
      <c r="N808" s="26"/>
      <c r="O808" s="26"/>
      <c r="P808" s="26"/>
      <c r="Q808" s="26"/>
    </row>
    <row r="809" ht="15.75" hidden="1" customHeight="1">
      <c r="A809" s="31" t="s">
        <v>39</v>
      </c>
      <c r="B809" s="9" t="s">
        <v>2450</v>
      </c>
      <c r="C809" s="19" t="s">
        <v>2527</v>
      </c>
      <c r="D809" s="22" t="s">
        <v>2528</v>
      </c>
      <c r="E809" s="19" t="s">
        <v>54</v>
      </c>
      <c r="F809" s="19" t="s">
        <v>631</v>
      </c>
      <c r="G809" s="19" t="s">
        <v>135</v>
      </c>
      <c r="H809" s="22" t="s">
        <v>365</v>
      </c>
      <c r="I809" s="25" t="s">
        <v>2529</v>
      </c>
      <c r="J809" s="19"/>
      <c r="K809" s="19" t="s">
        <v>13</v>
      </c>
      <c r="L809" s="22"/>
      <c r="M809" s="26"/>
      <c r="N809" s="26"/>
      <c r="O809" s="26"/>
      <c r="P809" s="26"/>
      <c r="Q809" s="26"/>
    </row>
    <row r="810" ht="15.75" hidden="1" customHeight="1">
      <c r="A810" s="31" t="s">
        <v>39</v>
      </c>
      <c r="B810" s="9" t="s">
        <v>2450</v>
      </c>
      <c r="C810" s="19" t="s">
        <v>1877</v>
      </c>
      <c r="D810" s="22" t="s">
        <v>2530</v>
      </c>
      <c r="E810" s="19" t="s">
        <v>54</v>
      </c>
      <c r="F810" s="19" t="s">
        <v>1736</v>
      </c>
      <c r="G810" s="19" t="s">
        <v>135</v>
      </c>
      <c r="H810" s="22" t="s">
        <v>365</v>
      </c>
      <c r="I810" s="25" t="s">
        <v>2531</v>
      </c>
      <c r="J810" s="19" t="s">
        <v>627</v>
      </c>
      <c r="K810" s="19" t="s">
        <v>82</v>
      </c>
      <c r="L810" s="22"/>
      <c r="M810" s="26"/>
      <c r="N810" s="26"/>
      <c r="O810" s="26"/>
      <c r="P810" s="26"/>
      <c r="Q810" s="26"/>
    </row>
    <row r="811" ht="15.75" hidden="1" customHeight="1">
      <c r="A811" s="31" t="s">
        <v>39</v>
      </c>
      <c r="B811" s="9" t="s">
        <v>2450</v>
      </c>
      <c r="C811" s="19" t="s">
        <v>2532</v>
      </c>
      <c r="D811" s="22" t="s">
        <v>2533</v>
      </c>
      <c r="E811" s="19" t="s">
        <v>54</v>
      </c>
      <c r="F811" s="19" t="s">
        <v>2534</v>
      </c>
      <c r="G811" s="19" t="s">
        <v>135</v>
      </c>
      <c r="H811" s="22" t="s">
        <v>365</v>
      </c>
      <c r="I811" s="25" t="s">
        <v>2535</v>
      </c>
      <c r="J811" s="19" t="s">
        <v>941</v>
      </c>
      <c r="K811" s="19" t="s">
        <v>40</v>
      </c>
      <c r="L811" s="22"/>
      <c r="M811" s="26"/>
      <c r="N811" s="26"/>
      <c r="O811" s="26"/>
      <c r="P811" s="26"/>
      <c r="Q811" s="26"/>
    </row>
    <row r="812" ht="15.75" hidden="1" customHeight="1">
      <c r="A812" s="31" t="s">
        <v>39</v>
      </c>
      <c r="B812" s="9" t="s">
        <v>2450</v>
      </c>
      <c r="C812" s="19" t="s">
        <v>2536</v>
      </c>
      <c r="D812" s="22" t="s">
        <v>2537</v>
      </c>
      <c r="E812" s="19" t="s">
        <v>54</v>
      </c>
      <c r="F812" s="19" t="s">
        <v>364</v>
      </c>
      <c r="G812" s="19" t="s">
        <v>135</v>
      </c>
      <c r="H812" s="22" t="s">
        <v>365</v>
      </c>
      <c r="I812" s="25" t="s">
        <v>2538</v>
      </c>
      <c r="J812" s="19" t="s">
        <v>941</v>
      </c>
      <c r="K812" s="19" t="s">
        <v>40</v>
      </c>
      <c r="L812" s="22"/>
      <c r="M812" s="26"/>
      <c r="N812" s="26"/>
      <c r="O812" s="26"/>
      <c r="P812" s="26"/>
      <c r="Q812" s="26"/>
    </row>
    <row r="813" ht="15.75" hidden="1" customHeight="1">
      <c r="A813" s="31" t="s">
        <v>39</v>
      </c>
      <c r="B813" s="9" t="s">
        <v>2450</v>
      </c>
      <c r="C813" s="19" t="s">
        <v>2539</v>
      </c>
      <c r="D813" s="22" t="s">
        <v>2540</v>
      </c>
      <c r="E813" s="19" t="s">
        <v>54</v>
      </c>
      <c r="F813" s="19" t="s">
        <v>2541</v>
      </c>
      <c r="G813" s="19" t="s">
        <v>135</v>
      </c>
      <c r="H813" s="22" t="s">
        <v>365</v>
      </c>
      <c r="I813" s="25" t="s">
        <v>2542</v>
      </c>
      <c r="J813" s="19"/>
      <c r="K813" s="19" t="s">
        <v>40</v>
      </c>
      <c r="L813" s="22"/>
      <c r="M813" s="26"/>
      <c r="N813" s="26"/>
      <c r="O813" s="26"/>
      <c r="P813" s="26"/>
      <c r="Q813" s="26"/>
    </row>
    <row r="814" ht="15.75" hidden="1" customHeight="1">
      <c r="A814" s="31" t="s">
        <v>39</v>
      </c>
      <c r="B814" s="9" t="s">
        <v>2450</v>
      </c>
      <c r="C814" s="19" t="s">
        <v>2543</v>
      </c>
      <c r="D814" s="22" t="s">
        <v>656</v>
      </c>
      <c r="E814" s="19" t="s">
        <v>54</v>
      </c>
      <c r="F814" s="19" t="s">
        <v>824</v>
      </c>
      <c r="G814" s="19" t="s">
        <v>135</v>
      </c>
      <c r="H814" s="22" t="s">
        <v>365</v>
      </c>
      <c r="I814" s="25" t="s">
        <v>2544</v>
      </c>
      <c r="J814" s="19"/>
      <c r="K814" s="19" t="s">
        <v>162</v>
      </c>
      <c r="L814" s="22" t="s">
        <v>2545</v>
      </c>
      <c r="M814" s="26"/>
      <c r="N814" s="26"/>
      <c r="O814" s="26"/>
      <c r="P814" s="26"/>
      <c r="Q814" s="26"/>
    </row>
    <row r="815" ht="15.75" hidden="1" customHeight="1">
      <c r="A815" s="31" t="s">
        <v>39</v>
      </c>
      <c r="B815" s="9" t="s">
        <v>2450</v>
      </c>
      <c r="C815" s="19" t="s">
        <v>2332</v>
      </c>
      <c r="D815" s="22" t="s">
        <v>1838</v>
      </c>
      <c r="E815" s="19" t="s">
        <v>54</v>
      </c>
      <c r="F815" s="19" t="s">
        <v>631</v>
      </c>
      <c r="G815" s="19" t="s">
        <v>135</v>
      </c>
      <c r="H815" s="22" t="s">
        <v>365</v>
      </c>
      <c r="I815" s="25" t="s">
        <v>2334</v>
      </c>
      <c r="J815" s="19"/>
      <c r="K815" s="19" t="s">
        <v>13</v>
      </c>
      <c r="L815" s="22"/>
      <c r="M815" s="26"/>
      <c r="N815" s="26"/>
      <c r="O815" s="26"/>
      <c r="P815" s="26"/>
      <c r="Q815" s="26"/>
    </row>
    <row r="816" ht="15.75" hidden="1" customHeight="1">
      <c r="A816" s="31" t="s">
        <v>39</v>
      </c>
      <c r="B816" s="9" t="s">
        <v>2450</v>
      </c>
      <c r="C816" s="19" t="s">
        <v>2546</v>
      </c>
      <c r="D816" s="22" t="s">
        <v>2547</v>
      </c>
      <c r="E816" s="19" t="s">
        <v>54</v>
      </c>
      <c r="F816" s="19" t="s">
        <v>1736</v>
      </c>
      <c r="G816" s="19" t="s">
        <v>135</v>
      </c>
      <c r="H816" s="22" t="s">
        <v>365</v>
      </c>
      <c r="I816" s="25" t="s">
        <v>2548</v>
      </c>
      <c r="J816" s="19"/>
      <c r="K816" s="19" t="s">
        <v>40</v>
      </c>
      <c r="L816" s="22"/>
      <c r="M816" s="26"/>
      <c r="N816" s="26"/>
      <c r="O816" s="26"/>
      <c r="P816" s="26"/>
      <c r="Q816" s="26"/>
    </row>
    <row r="817" ht="15.75" hidden="1" customHeight="1">
      <c r="A817" s="31" t="s">
        <v>39</v>
      </c>
      <c r="B817" s="9" t="s">
        <v>2450</v>
      </c>
      <c r="C817" s="19" t="s">
        <v>2549</v>
      </c>
      <c r="D817" s="22" t="s">
        <v>2547</v>
      </c>
      <c r="E817" s="19" t="s">
        <v>54</v>
      </c>
      <c r="F817" s="19" t="s">
        <v>1736</v>
      </c>
      <c r="G817" s="19" t="s">
        <v>135</v>
      </c>
      <c r="H817" s="22" t="s">
        <v>365</v>
      </c>
      <c r="I817" s="25" t="s">
        <v>2550</v>
      </c>
      <c r="J817" s="19"/>
      <c r="K817" s="19" t="s">
        <v>40</v>
      </c>
      <c r="L817" s="22"/>
      <c r="M817" s="26"/>
      <c r="N817" s="26"/>
      <c r="O817" s="26"/>
      <c r="P817" s="26"/>
      <c r="Q817" s="26"/>
    </row>
    <row r="818" ht="15.75" hidden="1" customHeight="1">
      <c r="A818" s="31" t="s">
        <v>39</v>
      </c>
      <c r="B818" s="9" t="s">
        <v>2450</v>
      </c>
      <c r="C818" s="19" t="s">
        <v>2551</v>
      </c>
      <c r="D818" s="22" t="s">
        <v>493</v>
      </c>
      <c r="E818" s="19" t="s">
        <v>116</v>
      </c>
      <c r="F818" s="19" t="s">
        <v>1778</v>
      </c>
      <c r="G818" s="19" t="s">
        <v>135</v>
      </c>
      <c r="H818" s="22" t="s">
        <v>155</v>
      </c>
      <c r="I818" s="25" t="s">
        <v>2552</v>
      </c>
      <c r="J818" s="19"/>
      <c r="K818" s="19" t="s">
        <v>74</v>
      </c>
      <c r="L818" s="22" t="s">
        <v>723</v>
      </c>
      <c r="M818" s="26"/>
      <c r="N818" s="26"/>
      <c r="O818" s="26"/>
      <c r="P818" s="26"/>
      <c r="Q818" s="26"/>
    </row>
    <row r="819" ht="15.75" customHeight="1">
      <c r="A819" s="31" t="s">
        <v>39</v>
      </c>
      <c r="B819" s="9" t="s">
        <v>2450</v>
      </c>
      <c r="C819" s="19" t="s">
        <v>198</v>
      </c>
      <c r="D819" s="22" t="s">
        <v>2553</v>
      </c>
      <c r="E819" s="19" t="s">
        <v>115</v>
      </c>
      <c r="F819" s="19" t="s">
        <v>868</v>
      </c>
      <c r="G819" s="19" t="s">
        <v>90</v>
      </c>
      <c r="H819" s="24" t="s">
        <v>59</v>
      </c>
      <c r="I819" s="25" t="s">
        <v>2554</v>
      </c>
      <c r="J819" s="19"/>
      <c r="K819" s="19" t="s">
        <v>40</v>
      </c>
      <c r="L819" s="22" t="s">
        <v>879</v>
      </c>
      <c r="M819" s="26"/>
      <c r="N819" s="26"/>
      <c r="O819" s="26"/>
      <c r="P819" s="26"/>
      <c r="Q819" s="26"/>
    </row>
    <row r="820" ht="15.75" hidden="1" customHeight="1">
      <c r="A820" s="31" t="s">
        <v>39</v>
      </c>
      <c r="B820" s="9" t="s">
        <v>2450</v>
      </c>
      <c r="C820" s="19" t="s">
        <v>2555</v>
      </c>
      <c r="D820" s="22" t="s">
        <v>2556</v>
      </c>
      <c r="E820" s="19" t="s">
        <v>54</v>
      </c>
      <c r="F820" s="19" t="s">
        <v>2557</v>
      </c>
      <c r="G820" s="19" t="s">
        <v>135</v>
      </c>
      <c r="H820" s="22" t="s">
        <v>365</v>
      </c>
      <c r="I820" s="25" t="s">
        <v>2558</v>
      </c>
      <c r="J820" s="19"/>
      <c r="K820" s="19" t="s">
        <v>40</v>
      </c>
      <c r="L820" s="22"/>
      <c r="M820" s="26"/>
      <c r="N820" s="26"/>
      <c r="O820" s="26"/>
      <c r="P820" s="26"/>
      <c r="Q820" s="26"/>
    </row>
    <row r="821" ht="15.75" hidden="1" customHeight="1">
      <c r="A821" s="31" t="s">
        <v>39</v>
      </c>
      <c r="B821" s="9" t="s">
        <v>2450</v>
      </c>
      <c r="C821" s="19" t="s">
        <v>2559</v>
      </c>
      <c r="D821" s="22" t="s">
        <v>2560</v>
      </c>
      <c r="E821" s="19" t="s">
        <v>54</v>
      </c>
      <c r="F821" s="19" t="s">
        <v>2561</v>
      </c>
      <c r="G821" s="19" t="s">
        <v>135</v>
      </c>
      <c r="H821" s="22" t="s">
        <v>365</v>
      </c>
      <c r="I821" s="25" t="s">
        <v>2562</v>
      </c>
      <c r="J821" s="19" t="s">
        <v>443</v>
      </c>
      <c r="K821" s="19" t="s">
        <v>40</v>
      </c>
      <c r="L821" s="22"/>
      <c r="M821" s="26"/>
      <c r="N821" s="26"/>
      <c r="O821" s="26"/>
      <c r="P821" s="26"/>
      <c r="Q821" s="26"/>
    </row>
    <row r="822" ht="15.75" hidden="1" customHeight="1">
      <c r="A822" s="31" t="s">
        <v>39</v>
      </c>
      <c r="B822" s="9" t="s">
        <v>2450</v>
      </c>
      <c r="C822" s="19" t="s">
        <v>2563</v>
      </c>
      <c r="D822" s="22" t="s">
        <v>2564</v>
      </c>
      <c r="E822" s="19" t="s">
        <v>54</v>
      </c>
      <c r="F822" s="19" t="s">
        <v>2565</v>
      </c>
      <c r="G822" s="19" t="s">
        <v>135</v>
      </c>
      <c r="H822" s="22" t="s">
        <v>365</v>
      </c>
      <c r="I822" s="25" t="s">
        <v>2566</v>
      </c>
      <c r="J822" s="19" t="s">
        <v>2508</v>
      </c>
      <c r="K822" s="19" t="s">
        <v>40</v>
      </c>
      <c r="L822" s="22"/>
      <c r="M822" s="26"/>
      <c r="N822" s="26"/>
      <c r="O822" s="26"/>
      <c r="P822" s="26"/>
      <c r="Q822" s="26"/>
    </row>
    <row r="823" ht="15.75" hidden="1" customHeight="1">
      <c r="A823" s="31" t="s">
        <v>39</v>
      </c>
      <c r="B823" s="9" t="s">
        <v>2450</v>
      </c>
      <c r="C823" s="19" t="s">
        <v>2263</v>
      </c>
      <c r="D823" s="22" t="s">
        <v>2567</v>
      </c>
      <c r="E823" s="19" t="s">
        <v>54</v>
      </c>
      <c r="F823" s="19" t="s">
        <v>705</v>
      </c>
      <c r="G823" s="19" t="s">
        <v>135</v>
      </c>
      <c r="H823" s="22" t="s">
        <v>365</v>
      </c>
      <c r="I823" s="25" t="s">
        <v>2568</v>
      </c>
      <c r="J823" s="19"/>
      <c r="K823" s="19" t="s">
        <v>40</v>
      </c>
      <c r="L823" s="22"/>
      <c r="M823" s="26"/>
      <c r="N823" s="26"/>
      <c r="O823" s="26"/>
      <c r="P823" s="26"/>
      <c r="Q823" s="26"/>
    </row>
    <row r="824" ht="15.75" hidden="1" customHeight="1">
      <c r="A824" s="31" t="s">
        <v>39</v>
      </c>
      <c r="B824" s="9" t="s">
        <v>2450</v>
      </c>
      <c r="C824" s="19" t="s">
        <v>2263</v>
      </c>
      <c r="D824" s="22" t="s">
        <v>2569</v>
      </c>
      <c r="E824" s="19" t="s">
        <v>54</v>
      </c>
      <c r="F824" s="19" t="s">
        <v>705</v>
      </c>
      <c r="G824" s="19" t="s">
        <v>135</v>
      </c>
      <c r="H824" s="22" t="s">
        <v>365</v>
      </c>
      <c r="I824" s="25" t="s">
        <v>2570</v>
      </c>
      <c r="J824" s="19"/>
      <c r="K824" s="19" t="s">
        <v>40</v>
      </c>
      <c r="L824" s="22"/>
      <c r="M824" s="26"/>
      <c r="N824" s="26"/>
      <c r="O824" s="26"/>
      <c r="P824" s="26"/>
      <c r="Q824" s="26"/>
    </row>
    <row r="825" ht="15.75" hidden="1" customHeight="1">
      <c r="A825" s="31" t="s">
        <v>39</v>
      </c>
      <c r="B825" s="9" t="s">
        <v>2450</v>
      </c>
      <c r="C825" s="19" t="s">
        <v>2263</v>
      </c>
      <c r="D825" s="22" t="s">
        <v>2571</v>
      </c>
      <c r="E825" s="19" t="s">
        <v>54</v>
      </c>
      <c r="F825" s="19" t="s">
        <v>631</v>
      </c>
      <c r="G825" s="19" t="s">
        <v>135</v>
      </c>
      <c r="H825" s="22" t="s">
        <v>365</v>
      </c>
      <c r="I825" s="25" t="s">
        <v>2572</v>
      </c>
      <c r="J825" s="19"/>
      <c r="K825" s="19" t="s">
        <v>40</v>
      </c>
      <c r="L825" s="22"/>
      <c r="M825" s="26"/>
      <c r="N825" s="26"/>
      <c r="O825" s="26"/>
      <c r="P825" s="26"/>
      <c r="Q825" s="26"/>
    </row>
    <row r="826" ht="15.75" hidden="1" customHeight="1">
      <c r="A826" s="31" t="s">
        <v>39</v>
      </c>
      <c r="B826" s="9" t="s">
        <v>2450</v>
      </c>
      <c r="C826" s="19" t="s">
        <v>2263</v>
      </c>
      <c r="D826" s="22" t="s">
        <v>2573</v>
      </c>
      <c r="E826" s="19" t="s">
        <v>54</v>
      </c>
      <c r="F826" s="19" t="s">
        <v>631</v>
      </c>
      <c r="G826" s="19" t="s">
        <v>135</v>
      </c>
      <c r="H826" s="22" t="s">
        <v>365</v>
      </c>
      <c r="I826" s="25" t="s">
        <v>2574</v>
      </c>
      <c r="J826" s="19"/>
      <c r="K826" s="19" t="s">
        <v>40</v>
      </c>
      <c r="L826" s="22"/>
      <c r="M826" s="26"/>
      <c r="N826" s="26"/>
      <c r="O826" s="26"/>
      <c r="P826" s="26"/>
      <c r="Q826" s="26"/>
    </row>
    <row r="827" ht="15.75" hidden="1" customHeight="1">
      <c r="A827" s="31" t="s">
        <v>39</v>
      </c>
      <c r="B827" s="9" t="s">
        <v>2450</v>
      </c>
      <c r="C827" s="19" t="s">
        <v>2575</v>
      </c>
      <c r="D827" s="22" t="s">
        <v>493</v>
      </c>
      <c r="E827" s="19" t="s">
        <v>116</v>
      </c>
      <c r="F827" s="19" t="s">
        <v>2576</v>
      </c>
      <c r="G827" s="19" t="s">
        <v>135</v>
      </c>
      <c r="H827" s="22" t="s">
        <v>155</v>
      </c>
      <c r="I827" s="25" t="s">
        <v>2577</v>
      </c>
      <c r="J827" s="19"/>
      <c r="K827" s="19" t="s">
        <v>74</v>
      </c>
      <c r="L827" s="22" t="s">
        <v>723</v>
      </c>
      <c r="M827" s="26"/>
      <c r="N827" s="26"/>
      <c r="O827" s="26"/>
      <c r="P827" s="26"/>
      <c r="Q827" s="26"/>
    </row>
    <row r="828" ht="15.75" hidden="1" customHeight="1">
      <c r="A828" s="31" t="s">
        <v>39</v>
      </c>
      <c r="B828" s="9" t="s">
        <v>2450</v>
      </c>
      <c r="C828" s="19" t="s">
        <v>2578</v>
      </c>
      <c r="D828" s="22" t="s">
        <v>2579</v>
      </c>
      <c r="E828" s="19" t="s">
        <v>54</v>
      </c>
      <c r="F828" s="19" t="s">
        <v>1820</v>
      </c>
      <c r="G828" s="19" t="s">
        <v>135</v>
      </c>
      <c r="H828" s="22" t="s">
        <v>365</v>
      </c>
      <c r="I828" s="25" t="s">
        <v>2580</v>
      </c>
      <c r="J828" s="19"/>
      <c r="K828" s="19" t="s">
        <v>117</v>
      </c>
      <c r="L828" s="22" t="s">
        <v>2581</v>
      </c>
      <c r="M828" s="26"/>
      <c r="N828" s="26"/>
      <c r="O828" s="26"/>
      <c r="P828" s="26"/>
      <c r="Q828" s="26"/>
    </row>
    <row r="829" ht="15.75" hidden="1" customHeight="1">
      <c r="A829" s="31" t="s">
        <v>39</v>
      </c>
      <c r="B829" s="9" t="s">
        <v>2450</v>
      </c>
      <c r="C829" s="19" t="s">
        <v>2582</v>
      </c>
      <c r="D829" s="22" t="s">
        <v>2421</v>
      </c>
      <c r="E829" s="19" t="s">
        <v>116</v>
      </c>
      <c r="F829" s="19" t="s">
        <v>2583</v>
      </c>
      <c r="G829" s="19" t="s">
        <v>135</v>
      </c>
      <c r="H829" s="22" t="s">
        <v>155</v>
      </c>
      <c r="I829" s="25" t="s">
        <v>2584</v>
      </c>
      <c r="J829" s="19"/>
      <c r="K829" s="19" t="s">
        <v>74</v>
      </c>
      <c r="L829" s="22" t="s">
        <v>723</v>
      </c>
      <c r="M829" s="26"/>
      <c r="N829" s="26"/>
      <c r="O829" s="26"/>
      <c r="P829" s="26"/>
      <c r="Q829" s="26"/>
    </row>
    <row r="830" ht="15.75" hidden="1" customHeight="1">
      <c r="A830" s="31" t="s">
        <v>39</v>
      </c>
      <c r="B830" s="9" t="s">
        <v>2450</v>
      </c>
      <c r="C830" s="19" t="s">
        <v>2585</v>
      </c>
      <c r="D830" s="22" t="s">
        <v>2586</v>
      </c>
      <c r="E830" s="19" t="s">
        <v>54</v>
      </c>
      <c r="F830" s="19" t="s">
        <v>2587</v>
      </c>
      <c r="G830" s="19" t="s">
        <v>135</v>
      </c>
      <c r="H830" s="22" t="s">
        <v>365</v>
      </c>
      <c r="I830" s="25" t="s">
        <v>2588</v>
      </c>
      <c r="J830" s="19"/>
      <c r="K830" s="19" t="s">
        <v>13</v>
      </c>
      <c r="L830" s="22"/>
      <c r="M830" s="26"/>
      <c r="N830" s="26"/>
      <c r="O830" s="26"/>
      <c r="P830" s="26"/>
      <c r="Q830" s="26"/>
    </row>
    <row r="831" ht="15.75" hidden="1" customHeight="1">
      <c r="A831" s="31" t="s">
        <v>39</v>
      </c>
      <c r="B831" s="9" t="s">
        <v>2450</v>
      </c>
      <c r="C831" s="19" t="s">
        <v>2589</v>
      </c>
      <c r="D831" s="22" t="s">
        <v>2590</v>
      </c>
      <c r="E831" s="19" t="s">
        <v>54</v>
      </c>
      <c r="F831" s="19" t="s">
        <v>1970</v>
      </c>
      <c r="G831" s="19" t="s">
        <v>135</v>
      </c>
      <c r="H831" s="22" t="s">
        <v>365</v>
      </c>
      <c r="I831" s="25" t="s">
        <v>2591</v>
      </c>
      <c r="J831" s="19" t="s">
        <v>1240</v>
      </c>
      <c r="K831" s="19" t="s">
        <v>213</v>
      </c>
      <c r="L831" s="22" t="s">
        <v>2592</v>
      </c>
      <c r="M831" s="26"/>
      <c r="N831" s="26"/>
      <c r="O831" s="26"/>
      <c r="P831" s="26"/>
      <c r="Q831" s="26"/>
    </row>
    <row r="832" ht="15.75" hidden="1" customHeight="1">
      <c r="A832" s="31" t="s">
        <v>39</v>
      </c>
      <c r="B832" s="9" t="s">
        <v>2450</v>
      </c>
      <c r="C832" s="19" t="s">
        <v>2589</v>
      </c>
      <c r="D832" s="22" t="s">
        <v>2593</v>
      </c>
      <c r="E832" s="19" t="s">
        <v>54</v>
      </c>
      <c r="F832" s="19" t="s">
        <v>1970</v>
      </c>
      <c r="G832" s="19" t="s">
        <v>135</v>
      </c>
      <c r="H832" s="22" t="s">
        <v>365</v>
      </c>
      <c r="I832" s="25" t="s">
        <v>2594</v>
      </c>
      <c r="J832" s="19" t="s">
        <v>140</v>
      </c>
      <c r="K832" s="19" t="s">
        <v>13</v>
      </c>
      <c r="L832" s="22"/>
      <c r="M832" s="26"/>
      <c r="N832" s="26"/>
      <c r="O832" s="26"/>
      <c r="P832" s="26"/>
      <c r="Q832" s="26"/>
    </row>
    <row r="833" ht="15.75" hidden="1" customHeight="1">
      <c r="A833" s="31" t="s">
        <v>39</v>
      </c>
      <c r="B833" s="9" t="s">
        <v>2450</v>
      </c>
      <c r="C833" s="19" t="s">
        <v>2589</v>
      </c>
      <c r="D833" s="22" t="s">
        <v>2595</v>
      </c>
      <c r="E833" s="19" t="s">
        <v>54</v>
      </c>
      <c r="F833" s="19" t="s">
        <v>1970</v>
      </c>
      <c r="G833" s="19" t="s">
        <v>135</v>
      </c>
      <c r="H833" s="22" t="s">
        <v>365</v>
      </c>
      <c r="I833" s="25" t="s">
        <v>2594</v>
      </c>
      <c r="J833" s="19" t="s">
        <v>782</v>
      </c>
      <c r="K833" s="19" t="s">
        <v>156</v>
      </c>
      <c r="L833" s="22"/>
      <c r="M833" s="26"/>
      <c r="N833" s="26"/>
      <c r="O833" s="26"/>
      <c r="P833" s="26"/>
      <c r="Q833" s="26"/>
    </row>
    <row r="834" ht="15.75" hidden="1" customHeight="1">
      <c r="A834" s="31" t="s">
        <v>39</v>
      </c>
      <c r="B834" s="9" t="s">
        <v>2450</v>
      </c>
      <c r="C834" s="19" t="s">
        <v>2596</v>
      </c>
      <c r="D834" s="22" t="s">
        <v>2597</v>
      </c>
      <c r="E834" s="19" t="s">
        <v>54</v>
      </c>
      <c r="F834" s="19" t="s">
        <v>631</v>
      </c>
      <c r="G834" s="19" t="s">
        <v>142</v>
      </c>
      <c r="H834" s="22" t="s">
        <v>365</v>
      </c>
      <c r="I834" s="25" t="s">
        <v>2598</v>
      </c>
      <c r="J834" s="19" t="s">
        <v>1435</v>
      </c>
      <c r="K834" s="19" t="s">
        <v>82</v>
      </c>
      <c r="L834" s="22" t="s">
        <v>2599</v>
      </c>
      <c r="M834" s="26"/>
      <c r="N834" s="26"/>
      <c r="O834" s="26"/>
      <c r="P834" s="26"/>
      <c r="Q834" s="26"/>
    </row>
    <row r="835" ht="15.75" hidden="1" customHeight="1">
      <c r="A835" s="31" t="s">
        <v>39</v>
      </c>
      <c r="B835" s="9" t="s">
        <v>2450</v>
      </c>
      <c r="C835" s="19" t="s">
        <v>2600</v>
      </c>
      <c r="D835" s="22" t="s">
        <v>2601</v>
      </c>
      <c r="E835" s="19" t="s">
        <v>124</v>
      </c>
      <c r="F835" s="19" t="s">
        <v>335</v>
      </c>
      <c r="G835" s="19" t="s">
        <v>57</v>
      </c>
      <c r="H835" s="22" t="s">
        <v>365</v>
      </c>
      <c r="I835" s="25" t="s">
        <v>2602</v>
      </c>
      <c r="J835" s="19" t="s">
        <v>635</v>
      </c>
      <c r="K835" s="19" t="s">
        <v>52</v>
      </c>
      <c r="L835" s="22" t="s">
        <v>2603</v>
      </c>
      <c r="M835" s="26"/>
      <c r="N835" s="26"/>
      <c r="O835" s="26"/>
      <c r="P835" s="26"/>
      <c r="Q835" s="26"/>
    </row>
    <row r="836" ht="15.75" hidden="1" customHeight="1">
      <c r="A836" s="31" t="s">
        <v>39</v>
      </c>
      <c r="B836" s="9" t="s">
        <v>2450</v>
      </c>
      <c r="C836" s="19" t="s">
        <v>2604</v>
      </c>
      <c r="D836" s="22" t="s">
        <v>2605</v>
      </c>
      <c r="E836" s="19" t="s">
        <v>54</v>
      </c>
      <c r="F836" s="19" t="s">
        <v>2162</v>
      </c>
      <c r="G836" s="19" t="s">
        <v>135</v>
      </c>
      <c r="H836" s="22" t="s">
        <v>365</v>
      </c>
      <c r="I836" s="25" t="s">
        <v>2606</v>
      </c>
      <c r="J836" s="19"/>
      <c r="K836" s="19" t="s">
        <v>117</v>
      </c>
      <c r="L836" s="22" t="s">
        <v>2607</v>
      </c>
      <c r="M836" s="26"/>
      <c r="N836" s="26"/>
      <c r="O836" s="26"/>
      <c r="P836" s="26"/>
      <c r="Q836" s="26"/>
    </row>
    <row r="837" ht="15.75" hidden="1" customHeight="1">
      <c r="A837" s="31" t="s">
        <v>39</v>
      </c>
      <c r="B837" s="9" t="s">
        <v>2450</v>
      </c>
      <c r="C837" s="19" t="s">
        <v>2608</v>
      </c>
      <c r="D837" s="22" t="s">
        <v>2609</v>
      </c>
      <c r="E837" s="19" t="s">
        <v>54</v>
      </c>
      <c r="F837" s="19" t="s">
        <v>2610</v>
      </c>
      <c r="G837" s="19" t="s">
        <v>135</v>
      </c>
      <c r="H837" s="22" t="s">
        <v>365</v>
      </c>
      <c r="I837" s="25" t="s">
        <v>2611</v>
      </c>
      <c r="J837" s="19"/>
      <c r="K837" s="19" t="s">
        <v>40</v>
      </c>
      <c r="L837" s="22"/>
      <c r="M837" s="26"/>
      <c r="N837" s="26"/>
      <c r="O837" s="26"/>
      <c r="P837" s="26"/>
      <c r="Q837" s="26"/>
    </row>
    <row r="838" ht="15.75" hidden="1" customHeight="1">
      <c r="A838" s="31" t="s">
        <v>39</v>
      </c>
      <c r="B838" s="9" t="s">
        <v>2450</v>
      </c>
      <c r="C838" s="19" t="s">
        <v>1922</v>
      </c>
      <c r="D838" s="22" t="s">
        <v>2612</v>
      </c>
      <c r="E838" s="19" t="s">
        <v>54</v>
      </c>
      <c r="F838" s="19" t="s">
        <v>1236</v>
      </c>
      <c r="G838" s="19" t="s">
        <v>142</v>
      </c>
      <c r="H838" s="22" t="s">
        <v>365</v>
      </c>
      <c r="I838" s="25" t="s">
        <v>2613</v>
      </c>
      <c r="J838" s="19"/>
      <c r="K838" s="19" t="s">
        <v>13</v>
      </c>
      <c r="L838" s="22" t="s">
        <v>2614</v>
      </c>
      <c r="M838" s="26"/>
      <c r="N838" s="26"/>
      <c r="O838" s="26"/>
      <c r="P838" s="26"/>
      <c r="Q838" s="26"/>
    </row>
    <row r="839" ht="15.75" hidden="1" customHeight="1">
      <c r="A839" s="31" t="s">
        <v>39</v>
      </c>
      <c r="B839" s="9" t="s">
        <v>2450</v>
      </c>
      <c r="C839" s="19" t="s">
        <v>2148</v>
      </c>
      <c r="D839" s="22" t="s">
        <v>2149</v>
      </c>
      <c r="E839" s="19" t="s">
        <v>54</v>
      </c>
      <c r="F839" s="19" t="s">
        <v>421</v>
      </c>
      <c r="G839" s="19" t="s">
        <v>135</v>
      </c>
      <c r="H839" s="22" t="s">
        <v>365</v>
      </c>
      <c r="I839" s="25" t="s">
        <v>2151</v>
      </c>
      <c r="J839" s="19" t="s">
        <v>456</v>
      </c>
      <c r="K839" s="19" t="s">
        <v>40</v>
      </c>
      <c r="L839" s="22"/>
      <c r="M839" s="26"/>
      <c r="N839" s="26"/>
      <c r="O839" s="26"/>
      <c r="P839" s="26"/>
      <c r="Q839" s="26"/>
    </row>
    <row r="840" ht="15.75" hidden="1" customHeight="1">
      <c r="A840" s="31" t="s">
        <v>39</v>
      </c>
      <c r="B840" s="9" t="s">
        <v>2450</v>
      </c>
      <c r="C840" s="19" t="s">
        <v>2615</v>
      </c>
      <c r="D840" s="22" t="s">
        <v>2616</v>
      </c>
      <c r="E840" s="19" t="s">
        <v>124</v>
      </c>
      <c r="F840" s="19" t="s">
        <v>2617</v>
      </c>
      <c r="G840" s="19" t="s">
        <v>135</v>
      </c>
      <c r="H840" s="24" t="s">
        <v>59</v>
      </c>
      <c r="I840" s="25" t="s">
        <v>2618</v>
      </c>
      <c r="J840" s="19"/>
      <c r="K840" s="19" t="s">
        <v>122</v>
      </c>
      <c r="L840" s="22" t="s">
        <v>2619</v>
      </c>
      <c r="M840" s="26"/>
      <c r="N840" s="26"/>
      <c r="O840" s="26"/>
      <c r="P840" s="26"/>
      <c r="Q840" s="26"/>
    </row>
    <row r="841" ht="15.75" hidden="1" customHeight="1">
      <c r="A841" s="31" t="s">
        <v>39</v>
      </c>
      <c r="B841" s="9" t="s">
        <v>2450</v>
      </c>
      <c r="C841" s="19" t="s">
        <v>2620</v>
      </c>
      <c r="D841" s="22" t="s">
        <v>2621</v>
      </c>
      <c r="E841" s="19" t="s">
        <v>54</v>
      </c>
      <c r="F841" s="19" t="s">
        <v>2622</v>
      </c>
      <c r="G841" s="19" t="s">
        <v>135</v>
      </c>
      <c r="H841" s="22" t="s">
        <v>365</v>
      </c>
      <c r="I841" s="25" t="s">
        <v>2623</v>
      </c>
      <c r="J841" s="19"/>
      <c r="K841" s="19" t="s">
        <v>40</v>
      </c>
      <c r="L841" s="22"/>
      <c r="M841" s="26"/>
      <c r="N841" s="26"/>
      <c r="O841" s="26"/>
      <c r="P841" s="26"/>
      <c r="Q841" s="26"/>
    </row>
    <row r="842" ht="15.75" customHeight="1">
      <c r="A842" s="31" t="s">
        <v>39</v>
      </c>
      <c r="B842" s="9" t="s">
        <v>2450</v>
      </c>
      <c r="C842" s="19" t="s">
        <v>2624</v>
      </c>
      <c r="D842" s="22" t="s">
        <v>2625</v>
      </c>
      <c r="E842" s="19" t="s">
        <v>124</v>
      </c>
      <c r="F842" s="19" t="s">
        <v>2626</v>
      </c>
      <c r="G842" s="19" t="s">
        <v>90</v>
      </c>
      <c r="H842" s="22" t="s">
        <v>365</v>
      </c>
      <c r="I842" s="25" t="s">
        <v>2627</v>
      </c>
      <c r="J842" s="19" t="s">
        <v>95</v>
      </c>
      <c r="K842" s="19" t="s">
        <v>52</v>
      </c>
      <c r="L842" s="22" t="s">
        <v>471</v>
      </c>
      <c r="M842" s="26"/>
      <c r="N842" s="26"/>
      <c r="O842" s="26"/>
      <c r="P842" s="26"/>
      <c r="Q842" s="26"/>
    </row>
    <row r="843" ht="15.75" hidden="1" customHeight="1">
      <c r="A843" s="31" t="s">
        <v>39</v>
      </c>
      <c r="B843" s="9" t="s">
        <v>2450</v>
      </c>
      <c r="C843" s="19" t="s">
        <v>2628</v>
      </c>
      <c r="D843" s="22" t="s">
        <v>656</v>
      </c>
      <c r="E843" s="19" t="s">
        <v>54</v>
      </c>
      <c r="F843" s="19" t="s">
        <v>824</v>
      </c>
      <c r="G843" s="19" t="s">
        <v>135</v>
      </c>
      <c r="H843" s="22" t="s">
        <v>365</v>
      </c>
      <c r="I843" s="25" t="s">
        <v>2629</v>
      </c>
      <c r="J843" s="19"/>
      <c r="K843" s="19" t="s">
        <v>162</v>
      </c>
      <c r="L843" s="22" t="s">
        <v>2630</v>
      </c>
      <c r="M843" s="26"/>
      <c r="N843" s="26"/>
      <c r="O843" s="26"/>
      <c r="P843" s="26"/>
      <c r="Q843" s="26"/>
    </row>
    <row r="844" ht="15.75" hidden="1" customHeight="1">
      <c r="A844" s="31" t="s">
        <v>39</v>
      </c>
      <c r="B844" s="9" t="s">
        <v>2450</v>
      </c>
      <c r="C844" s="19" t="s">
        <v>845</v>
      </c>
      <c r="D844" s="22" t="s">
        <v>2631</v>
      </c>
      <c r="E844" s="19" t="s">
        <v>116</v>
      </c>
      <c r="F844" s="19" t="s">
        <v>55</v>
      </c>
      <c r="G844" s="19" t="s">
        <v>135</v>
      </c>
      <c r="H844" s="22" t="s">
        <v>155</v>
      </c>
      <c r="I844" s="25" t="s">
        <v>2632</v>
      </c>
      <c r="J844" s="19"/>
      <c r="K844" s="19" t="s">
        <v>122</v>
      </c>
      <c r="L844" s="22" t="s">
        <v>1596</v>
      </c>
      <c r="M844" s="26"/>
      <c r="N844" s="26"/>
      <c r="O844" s="26"/>
      <c r="P844" s="26"/>
      <c r="Q844" s="26"/>
    </row>
    <row r="845" ht="15.75" hidden="1" customHeight="1">
      <c r="A845" s="31" t="s">
        <v>39</v>
      </c>
      <c r="B845" s="9" t="s">
        <v>2450</v>
      </c>
      <c r="C845" s="19" t="s">
        <v>845</v>
      </c>
      <c r="D845" s="22" t="s">
        <v>2633</v>
      </c>
      <c r="E845" s="19" t="s">
        <v>116</v>
      </c>
      <c r="F845" s="19" t="s">
        <v>55</v>
      </c>
      <c r="G845" s="19" t="s">
        <v>135</v>
      </c>
      <c r="H845" s="22" t="s">
        <v>155</v>
      </c>
      <c r="I845" s="25" t="s">
        <v>2634</v>
      </c>
      <c r="J845" s="19"/>
      <c r="K845" s="19" t="s">
        <v>122</v>
      </c>
      <c r="L845" s="22" t="s">
        <v>1596</v>
      </c>
      <c r="M845" s="26"/>
      <c r="N845" s="26"/>
      <c r="O845" s="26"/>
      <c r="P845" s="26"/>
      <c r="Q845" s="26"/>
    </row>
    <row r="846" ht="15.75" hidden="1" customHeight="1">
      <c r="A846" s="31" t="s">
        <v>39</v>
      </c>
      <c r="B846" s="9" t="s">
        <v>2450</v>
      </c>
      <c r="C846" s="19" t="s">
        <v>2635</v>
      </c>
      <c r="D846" s="22" t="s">
        <v>2636</v>
      </c>
      <c r="E846" s="19" t="s">
        <v>54</v>
      </c>
      <c r="F846" s="19" t="s">
        <v>1820</v>
      </c>
      <c r="G846" s="19" t="s">
        <v>135</v>
      </c>
      <c r="H846" s="22" t="s">
        <v>365</v>
      </c>
      <c r="I846" s="25" t="s">
        <v>2637</v>
      </c>
      <c r="J846" s="19"/>
      <c r="K846" s="19" t="s">
        <v>117</v>
      </c>
      <c r="L846" s="22"/>
      <c r="M846" s="26"/>
      <c r="N846" s="26"/>
      <c r="O846" s="26"/>
      <c r="P846" s="26"/>
      <c r="Q846" s="26"/>
    </row>
    <row r="847" ht="15.75" hidden="1" customHeight="1">
      <c r="A847" s="31" t="s">
        <v>39</v>
      </c>
      <c r="B847" s="9" t="s">
        <v>2450</v>
      </c>
      <c r="C847" s="19" t="s">
        <v>2638</v>
      </c>
      <c r="D847" s="22" t="s">
        <v>2639</v>
      </c>
      <c r="E847" s="19" t="s">
        <v>54</v>
      </c>
      <c r="F847" s="19" t="s">
        <v>2640</v>
      </c>
      <c r="G847" s="19" t="s">
        <v>135</v>
      </c>
      <c r="H847" s="22" t="s">
        <v>365</v>
      </c>
      <c r="I847" s="25" t="s">
        <v>2641</v>
      </c>
      <c r="J847" s="19"/>
      <c r="K847" s="19" t="s">
        <v>40</v>
      </c>
      <c r="L847" s="22" t="s">
        <v>2642</v>
      </c>
      <c r="M847" s="26"/>
      <c r="N847" s="26"/>
      <c r="O847" s="26"/>
      <c r="P847" s="26"/>
      <c r="Q847" s="26"/>
    </row>
    <row r="848" ht="15.75" hidden="1" customHeight="1">
      <c r="A848" s="31" t="s">
        <v>39</v>
      </c>
      <c r="B848" s="9" t="s">
        <v>2450</v>
      </c>
      <c r="C848" s="19" t="s">
        <v>2638</v>
      </c>
      <c r="D848" s="22" t="s">
        <v>2643</v>
      </c>
      <c r="E848" s="19" t="s">
        <v>54</v>
      </c>
      <c r="F848" s="19" t="s">
        <v>2640</v>
      </c>
      <c r="G848" s="19" t="s">
        <v>135</v>
      </c>
      <c r="H848" s="22" t="s">
        <v>365</v>
      </c>
      <c r="I848" s="25" t="s">
        <v>2644</v>
      </c>
      <c r="J848" s="19"/>
      <c r="K848" s="19" t="s">
        <v>40</v>
      </c>
      <c r="L848" s="22" t="s">
        <v>2645</v>
      </c>
      <c r="M848" s="26"/>
      <c r="N848" s="26"/>
      <c r="O848" s="26"/>
      <c r="P848" s="26"/>
      <c r="Q848" s="26"/>
    </row>
    <row r="849" ht="15.75" hidden="1" customHeight="1">
      <c r="A849" s="31" t="s">
        <v>39</v>
      </c>
      <c r="B849" s="9" t="s">
        <v>2450</v>
      </c>
      <c r="C849" s="19" t="s">
        <v>2646</v>
      </c>
      <c r="D849" s="22" t="s">
        <v>2647</v>
      </c>
      <c r="E849" s="19" t="s">
        <v>54</v>
      </c>
      <c r="F849" s="19" t="s">
        <v>631</v>
      </c>
      <c r="G849" s="19" t="s">
        <v>142</v>
      </c>
      <c r="H849" s="22" t="s">
        <v>365</v>
      </c>
      <c r="I849" s="25" t="s">
        <v>2648</v>
      </c>
      <c r="J849" s="19" t="s">
        <v>337</v>
      </c>
      <c r="K849" s="19" t="s">
        <v>145</v>
      </c>
      <c r="L849" s="22"/>
      <c r="M849" s="26"/>
      <c r="N849" s="26"/>
      <c r="O849" s="26"/>
      <c r="P849" s="26"/>
      <c r="Q849" s="26"/>
    </row>
    <row r="850" ht="15.75" hidden="1" customHeight="1">
      <c r="A850" s="31" t="s">
        <v>39</v>
      </c>
      <c r="B850" s="9" t="s">
        <v>2450</v>
      </c>
      <c r="C850" s="19" t="s">
        <v>2649</v>
      </c>
      <c r="D850" s="22" t="s">
        <v>2650</v>
      </c>
      <c r="E850" s="19" t="s">
        <v>54</v>
      </c>
      <c r="F850" s="19" t="s">
        <v>2651</v>
      </c>
      <c r="G850" s="19" t="s">
        <v>135</v>
      </c>
      <c r="H850" s="22" t="s">
        <v>365</v>
      </c>
      <c r="I850" s="25" t="s">
        <v>2652</v>
      </c>
      <c r="J850" s="19" t="s">
        <v>2168</v>
      </c>
      <c r="K850" s="19" t="s">
        <v>40</v>
      </c>
      <c r="L850" s="22" t="s">
        <v>2488</v>
      </c>
      <c r="M850" s="26"/>
      <c r="N850" s="26"/>
      <c r="O850" s="26"/>
      <c r="P850" s="26"/>
      <c r="Q850" s="26"/>
    </row>
    <row r="851" ht="15.75" hidden="1" customHeight="1">
      <c r="A851" s="31" t="s">
        <v>39</v>
      </c>
      <c r="B851" s="9" t="s">
        <v>2450</v>
      </c>
      <c r="C851" s="19" t="s">
        <v>2653</v>
      </c>
      <c r="D851" s="22" t="s">
        <v>1522</v>
      </c>
      <c r="E851" s="19" t="s">
        <v>54</v>
      </c>
      <c r="F851" s="19" t="s">
        <v>1379</v>
      </c>
      <c r="G851" s="19" t="s">
        <v>135</v>
      </c>
      <c r="H851" s="22" t="s">
        <v>365</v>
      </c>
      <c r="I851" s="25" t="s">
        <v>2654</v>
      </c>
      <c r="J851" s="19"/>
      <c r="K851" s="19" t="s">
        <v>13</v>
      </c>
      <c r="L851" s="22"/>
      <c r="M851" s="26"/>
      <c r="N851" s="26"/>
      <c r="O851" s="26"/>
      <c r="P851" s="26"/>
      <c r="Q851" s="26"/>
    </row>
    <row r="852" ht="15.75" hidden="1" customHeight="1">
      <c r="A852" s="31" t="s">
        <v>39</v>
      </c>
      <c r="B852" s="9" t="s">
        <v>2450</v>
      </c>
      <c r="C852" s="19" t="s">
        <v>1757</v>
      </c>
      <c r="D852" s="22" t="s">
        <v>1362</v>
      </c>
      <c r="E852" s="19" t="s">
        <v>54</v>
      </c>
      <c r="F852" s="19" t="s">
        <v>55</v>
      </c>
      <c r="G852" s="19" t="s">
        <v>135</v>
      </c>
      <c r="H852" s="22" t="s">
        <v>365</v>
      </c>
      <c r="I852" s="25" t="s">
        <v>2655</v>
      </c>
      <c r="J852" s="19" t="s">
        <v>1850</v>
      </c>
      <c r="K852" s="19" t="s">
        <v>82</v>
      </c>
      <c r="L852" s="22" t="s">
        <v>1720</v>
      </c>
      <c r="M852" s="26"/>
      <c r="N852" s="26"/>
      <c r="O852" s="26"/>
      <c r="P852" s="26"/>
      <c r="Q852" s="26"/>
    </row>
    <row r="853" ht="15.75" hidden="1" customHeight="1">
      <c r="A853" s="31" t="s">
        <v>39</v>
      </c>
      <c r="B853" s="9" t="s">
        <v>2450</v>
      </c>
      <c r="C853" s="19" t="s">
        <v>2656</v>
      </c>
      <c r="D853" s="22" t="s">
        <v>2547</v>
      </c>
      <c r="E853" s="19" t="s">
        <v>54</v>
      </c>
      <c r="F853" s="19" t="s">
        <v>2657</v>
      </c>
      <c r="G853" s="19" t="s">
        <v>135</v>
      </c>
      <c r="H853" s="22" t="s">
        <v>365</v>
      </c>
      <c r="I853" s="25" t="s">
        <v>2658</v>
      </c>
      <c r="J853" s="19" t="s">
        <v>2508</v>
      </c>
      <c r="K853" s="19" t="s">
        <v>40</v>
      </c>
      <c r="L853" s="22"/>
      <c r="M853" s="26"/>
      <c r="N853" s="26"/>
      <c r="O853" s="26"/>
      <c r="P853" s="26"/>
      <c r="Q853" s="26"/>
    </row>
    <row r="854" ht="15.75" hidden="1" customHeight="1">
      <c r="A854" s="31" t="s">
        <v>39</v>
      </c>
      <c r="B854" s="9" t="s">
        <v>2450</v>
      </c>
      <c r="C854" s="19" t="s">
        <v>2659</v>
      </c>
      <c r="D854" s="22" t="s">
        <v>2660</v>
      </c>
      <c r="E854" s="19" t="s">
        <v>54</v>
      </c>
      <c r="F854" s="19" t="s">
        <v>521</v>
      </c>
      <c r="G854" s="19" t="s">
        <v>135</v>
      </c>
      <c r="H854" s="22" t="s">
        <v>365</v>
      </c>
      <c r="I854" s="25" t="s">
        <v>2661</v>
      </c>
      <c r="J854" s="19" t="s">
        <v>456</v>
      </c>
      <c r="K854" s="19" t="s">
        <v>40</v>
      </c>
      <c r="L854" s="22" t="s">
        <v>2662</v>
      </c>
      <c r="M854" s="26"/>
      <c r="N854" s="26"/>
      <c r="O854" s="26"/>
      <c r="P854" s="26"/>
      <c r="Q854" s="26"/>
    </row>
    <row r="855" ht="15.75" hidden="1" customHeight="1">
      <c r="A855" s="31" t="s">
        <v>39</v>
      </c>
      <c r="B855" s="9" t="s">
        <v>2450</v>
      </c>
      <c r="C855" s="19" t="s">
        <v>2663</v>
      </c>
      <c r="D855" s="22" t="s">
        <v>2664</v>
      </c>
      <c r="E855" s="19" t="s">
        <v>54</v>
      </c>
      <c r="F855" s="19" t="s">
        <v>2126</v>
      </c>
      <c r="G855" s="19" t="s">
        <v>135</v>
      </c>
      <c r="H855" s="22" t="s">
        <v>365</v>
      </c>
      <c r="I855" s="25" t="s">
        <v>2665</v>
      </c>
      <c r="J855" s="19" t="s">
        <v>782</v>
      </c>
      <c r="K855" s="19" t="s">
        <v>82</v>
      </c>
      <c r="L855" s="22" t="s">
        <v>2666</v>
      </c>
      <c r="M855" s="26"/>
      <c r="N855" s="26"/>
      <c r="O855" s="26"/>
      <c r="P855" s="26"/>
      <c r="Q855" s="26"/>
    </row>
    <row r="856" ht="15.75" hidden="1" customHeight="1">
      <c r="A856" s="31" t="s">
        <v>39</v>
      </c>
      <c r="B856" s="9" t="s">
        <v>2450</v>
      </c>
      <c r="C856" s="19" t="s">
        <v>2663</v>
      </c>
      <c r="D856" s="22" t="s">
        <v>2667</v>
      </c>
      <c r="E856" s="19" t="s">
        <v>54</v>
      </c>
      <c r="F856" s="19" t="s">
        <v>2126</v>
      </c>
      <c r="G856" s="19" t="s">
        <v>135</v>
      </c>
      <c r="H856" s="22" t="s">
        <v>365</v>
      </c>
      <c r="I856" s="25" t="s">
        <v>2665</v>
      </c>
      <c r="J856" s="19" t="s">
        <v>782</v>
      </c>
      <c r="K856" s="19" t="s">
        <v>82</v>
      </c>
      <c r="L856" s="22" t="s">
        <v>2668</v>
      </c>
      <c r="M856" s="26"/>
      <c r="N856" s="26"/>
      <c r="O856" s="26"/>
      <c r="P856" s="26"/>
      <c r="Q856" s="26"/>
    </row>
    <row r="857" ht="15.75" hidden="1" customHeight="1">
      <c r="A857" s="31" t="s">
        <v>39</v>
      </c>
      <c r="B857" s="9" t="s">
        <v>2450</v>
      </c>
      <c r="C857" s="19" t="s">
        <v>2663</v>
      </c>
      <c r="D857" s="22" t="s">
        <v>2669</v>
      </c>
      <c r="E857" s="19" t="s">
        <v>54</v>
      </c>
      <c r="F857" s="19" t="s">
        <v>2126</v>
      </c>
      <c r="G857" s="19" t="s">
        <v>135</v>
      </c>
      <c r="H857" s="22" t="s">
        <v>365</v>
      </c>
      <c r="I857" s="25" t="s">
        <v>2670</v>
      </c>
      <c r="J857" s="19" t="s">
        <v>782</v>
      </c>
      <c r="K857" s="19" t="s">
        <v>156</v>
      </c>
      <c r="L857" s="22"/>
      <c r="M857" s="26"/>
      <c r="N857" s="26"/>
      <c r="O857" s="26"/>
      <c r="P857" s="26"/>
      <c r="Q857" s="26"/>
    </row>
    <row r="858" ht="15.75" hidden="1" customHeight="1">
      <c r="A858" s="31" t="s">
        <v>39</v>
      </c>
      <c r="B858" s="9" t="s">
        <v>2450</v>
      </c>
      <c r="C858" s="19" t="s">
        <v>2671</v>
      </c>
      <c r="D858" s="22" t="s">
        <v>2672</v>
      </c>
      <c r="E858" s="19" t="s">
        <v>54</v>
      </c>
      <c r="F858" s="19" t="s">
        <v>521</v>
      </c>
      <c r="G858" s="19" t="s">
        <v>135</v>
      </c>
      <c r="H858" s="22" t="s">
        <v>365</v>
      </c>
      <c r="I858" s="25" t="s">
        <v>2673</v>
      </c>
      <c r="J858" s="19" t="s">
        <v>1096</v>
      </c>
      <c r="K858" s="19" t="s">
        <v>40</v>
      </c>
      <c r="L858" s="22"/>
      <c r="M858" s="26"/>
      <c r="N858" s="26"/>
      <c r="O858" s="26"/>
      <c r="P858" s="26"/>
      <c r="Q858" s="26"/>
    </row>
    <row r="859" ht="15.75" customHeight="1">
      <c r="A859" s="31" t="s">
        <v>39</v>
      </c>
      <c r="B859" s="9" t="s">
        <v>2450</v>
      </c>
      <c r="C859" s="19" t="s">
        <v>201</v>
      </c>
      <c r="D859" s="22" t="s">
        <v>2674</v>
      </c>
      <c r="E859" s="19" t="s">
        <v>124</v>
      </c>
      <c r="F859" s="19" t="s">
        <v>2675</v>
      </c>
      <c r="G859" s="19" t="s">
        <v>90</v>
      </c>
      <c r="H859" s="22" t="s">
        <v>365</v>
      </c>
      <c r="I859" s="25" t="s">
        <v>2676</v>
      </c>
      <c r="J859" s="19" t="s">
        <v>95</v>
      </c>
      <c r="K859" s="19" t="s">
        <v>52</v>
      </c>
      <c r="L859" s="22" t="s">
        <v>471</v>
      </c>
      <c r="M859" s="26"/>
      <c r="N859" s="26"/>
      <c r="O859" s="26"/>
      <c r="P859" s="26"/>
      <c r="Q859" s="26"/>
    </row>
    <row r="860" ht="15.75" hidden="1" customHeight="1">
      <c r="A860" s="31" t="s">
        <v>39</v>
      </c>
      <c r="B860" s="9" t="s">
        <v>2450</v>
      </c>
      <c r="C860" s="19" t="s">
        <v>2677</v>
      </c>
      <c r="D860" s="22" t="s">
        <v>2678</v>
      </c>
      <c r="E860" s="19" t="s">
        <v>54</v>
      </c>
      <c r="F860" s="19" t="s">
        <v>1736</v>
      </c>
      <c r="G860" s="19" t="s">
        <v>142</v>
      </c>
      <c r="H860" s="22" t="s">
        <v>365</v>
      </c>
      <c r="I860" s="25" t="s">
        <v>2679</v>
      </c>
      <c r="J860" s="19" t="s">
        <v>1314</v>
      </c>
      <c r="K860" s="19" t="s">
        <v>82</v>
      </c>
      <c r="L860" s="22" t="s">
        <v>2680</v>
      </c>
      <c r="M860" s="26"/>
      <c r="N860" s="26"/>
      <c r="O860" s="26"/>
      <c r="P860" s="26"/>
      <c r="Q860" s="26"/>
    </row>
    <row r="861" ht="15.75" hidden="1" customHeight="1">
      <c r="A861" s="31" t="s">
        <v>39</v>
      </c>
      <c r="B861" s="9" t="s">
        <v>2681</v>
      </c>
      <c r="C861" s="19" t="s">
        <v>1146</v>
      </c>
      <c r="D861" s="22" t="s">
        <v>2682</v>
      </c>
      <c r="E861" s="19" t="s">
        <v>109</v>
      </c>
      <c r="F861" s="19" t="s">
        <v>2683</v>
      </c>
      <c r="G861" s="19" t="s">
        <v>57</v>
      </c>
      <c r="H861" s="24" t="s">
        <v>59</v>
      </c>
      <c r="I861" s="25" t="s">
        <v>2684</v>
      </c>
      <c r="J861" s="19" t="s">
        <v>1722</v>
      </c>
      <c r="K861" s="19" t="s">
        <v>110</v>
      </c>
      <c r="L861" s="22"/>
      <c r="M861" s="26"/>
      <c r="N861" s="26"/>
      <c r="O861" s="26"/>
      <c r="P861" s="26"/>
      <c r="Q861" s="26"/>
    </row>
    <row r="862" ht="15.75" hidden="1" customHeight="1">
      <c r="A862" s="31" t="s">
        <v>39</v>
      </c>
      <c r="B862" s="9" t="s">
        <v>2681</v>
      </c>
      <c r="C862" s="19" t="s">
        <v>2685</v>
      </c>
      <c r="D862" s="22" t="s">
        <v>2686</v>
      </c>
      <c r="E862" s="19" t="s">
        <v>109</v>
      </c>
      <c r="F862" s="19" t="s">
        <v>2687</v>
      </c>
      <c r="G862" s="19" t="s">
        <v>57</v>
      </c>
      <c r="H862" s="24" t="s">
        <v>59</v>
      </c>
      <c r="I862" s="25" t="s">
        <v>2688</v>
      </c>
      <c r="J862" s="19" t="s">
        <v>319</v>
      </c>
      <c r="K862" s="19" t="s">
        <v>13</v>
      </c>
      <c r="L862" s="22" t="s">
        <v>890</v>
      </c>
      <c r="M862" s="26"/>
      <c r="N862" s="26"/>
      <c r="O862" s="26"/>
      <c r="P862" s="26"/>
      <c r="Q862" s="26"/>
    </row>
    <row r="863" ht="15.75" hidden="1" customHeight="1">
      <c r="A863" s="31" t="s">
        <v>39</v>
      </c>
      <c r="B863" s="9" t="s">
        <v>2681</v>
      </c>
      <c r="C863" s="19" t="s">
        <v>1085</v>
      </c>
      <c r="D863" s="22" t="s">
        <v>2689</v>
      </c>
      <c r="E863" s="19" t="s">
        <v>109</v>
      </c>
      <c r="F863" s="19" t="s">
        <v>2690</v>
      </c>
      <c r="G863" s="19" t="s">
        <v>146</v>
      </c>
      <c r="H863" s="24" t="s">
        <v>59</v>
      </c>
      <c r="I863" s="25" t="s">
        <v>2691</v>
      </c>
      <c r="J863" s="19" t="s">
        <v>319</v>
      </c>
      <c r="K863" s="19" t="s">
        <v>175</v>
      </c>
      <c r="L863" s="22"/>
      <c r="M863" s="26"/>
      <c r="N863" s="26"/>
      <c r="O863" s="26"/>
      <c r="P863" s="26"/>
      <c r="Q863" s="26"/>
    </row>
    <row r="864" ht="15.75" hidden="1" customHeight="1">
      <c r="A864" s="31" t="s">
        <v>39</v>
      </c>
      <c r="B864" s="9" t="s">
        <v>2681</v>
      </c>
      <c r="C864" s="19" t="s">
        <v>1855</v>
      </c>
      <c r="D864" s="22" t="s">
        <v>2692</v>
      </c>
      <c r="E864" s="19" t="s">
        <v>109</v>
      </c>
      <c r="F864" s="19" t="s">
        <v>186</v>
      </c>
      <c r="G864" s="19" t="s">
        <v>57</v>
      </c>
      <c r="H864" s="24" t="s">
        <v>59</v>
      </c>
      <c r="I864" s="25" t="s">
        <v>2693</v>
      </c>
      <c r="J864" s="19"/>
      <c r="K864" s="19" t="s">
        <v>269</v>
      </c>
      <c r="L864" s="22" t="s">
        <v>1731</v>
      </c>
      <c r="M864" s="26"/>
      <c r="N864" s="26"/>
      <c r="O864" s="26"/>
      <c r="P864" s="26"/>
      <c r="Q864" s="26"/>
    </row>
    <row r="865" ht="15.75" customHeight="1">
      <c r="A865" s="31" t="s">
        <v>39</v>
      </c>
      <c r="B865" s="9" t="s">
        <v>2681</v>
      </c>
      <c r="C865" s="19" t="s">
        <v>918</v>
      </c>
      <c r="D865" s="22" t="s">
        <v>2694</v>
      </c>
      <c r="E865" s="19" t="s">
        <v>115</v>
      </c>
      <c r="F865" s="19" t="s">
        <v>920</v>
      </c>
      <c r="G865" s="19" t="s">
        <v>90</v>
      </c>
      <c r="H865" s="22" t="s">
        <v>155</v>
      </c>
      <c r="I865" s="25" t="s">
        <v>921</v>
      </c>
      <c r="J865" s="19" t="s">
        <v>635</v>
      </c>
      <c r="K865" s="19" t="s">
        <v>78</v>
      </c>
      <c r="L865" s="22"/>
      <c r="M865" s="26"/>
      <c r="N865" s="26"/>
      <c r="O865" s="26"/>
      <c r="P865" s="26"/>
      <c r="Q865" s="26"/>
    </row>
    <row r="866" ht="15.75" hidden="1" customHeight="1">
      <c r="A866" s="31" t="s">
        <v>39</v>
      </c>
      <c r="B866" s="9" t="s">
        <v>2681</v>
      </c>
      <c r="C866" s="19" t="s">
        <v>2695</v>
      </c>
      <c r="D866" s="22" t="s">
        <v>2696</v>
      </c>
      <c r="E866" s="19" t="s">
        <v>116</v>
      </c>
      <c r="F866" s="19" t="s">
        <v>295</v>
      </c>
      <c r="G866" s="19" t="s">
        <v>135</v>
      </c>
      <c r="H866" s="22" t="s">
        <v>365</v>
      </c>
      <c r="I866" s="25" t="s">
        <v>2697</v>
      </c>
      <c r="J866" s="19" t="s">
        <v>1026</v>
      </c>
      <c r="K866" s="19" t="s">
        <v>40</v>
      </c>
      <c r="L866" s="22"/>
      <c r="M866" s="26"/>
      <c r="N866" s="26"/>
      <c r="O866" s="26"/>
      <c r="P866" s="26"/>
      <c r="Q866" s="26"/>
    </row>
    <row r="867" ht="15.75" hidden="1" customHeight="1">
      <c r="A867" s="31" t="s">
        <v>39</v>
      </c>
      <c r="B867" s="9" t="s">
        <v>2681</v>
      </c>
      <c r="C867" s="19" t="s">
        <v>1150</v>
      </c>
      <c r="D867" s="22" t="s">
        <v>2698</v>
      </c>
      <c r="E867" s="19" t="s">
        <v>109</v>
      </c>
      <c r="F867" s="19" t="s">
        <v>2699</v>
      </c>
      <c r="G867" s="19" t="s">
        <v>57</v>
      </c>
      <c r="H867" s="24" t="s">
        <v>59</v>
      </c>
      <c r="I867" s="25" t="s">
        <v>1153</v>
      </c>
      <c r="J867" s="19"/>
      <c r="K867" s="19" t="s">
        <v>74</v>
      </c>
      <c r="L867" s="22"/>
      <c r="M867" s="26"/>
      <c r="N867" s="26"/>
      <c r="O867" s="26"/>
      <c r="P867" s="26"/>
      <c r="Q867" s="26"/>
    </row>
    <row r="868" ht="15.75" hidden="1" customHeight="1">
      <c r="A868" s="31" t="s">
        <v>39</v>
      </c>
      <c r="B868" s="9" t="s">
        <v>2681</v>
      </c>
      <c r="C868" s="19" t="s">
        <v>1158</v>
      </c>
      <c r="D868" s="22" t="s">
        <v>656</v>
      </c>
      <c r="E868" s="19" t="s">
        <v>109</v>
      </c>
      <c r="F868" s="19" t="s">
        <v>241</v>
      </c>
      <c r="G868" s="19" t="s">
        <v>57</v>
      </c>
      <c r="H868" s="24" t="s">
        <v>59</v>
      </c>
      <c r="I868" s="25" t="s">
        <v>2700</v>
      </c>
      <c r="J868" s="19" t="s">
        <v>1435</v>
      </c>
      <c r="K868" s="19" t="s">
        <v>110</v>
      </c>
      <c r="L868" s="22"/>
      <c r="M868" s="26"/>
      <c r="N868" s="26"/>
      <c r="O868" s="26"/>
      <c r="P868" s="26"/>
      <c r="Q868" s="26"/>
    </row>
    <row r="869" ht="15.75" hidden="1" customHeight="1">
      <c r="A869" s="31" t="s">
        <v>39</v>
      </c>
      <c r="B869" s="9" t="s">
        <v>2681</v>
      </c>
      <c r="C869" s="19" t="s">
        <v>1158</v>
      </c>
      <c r="D869" s="22" t="s">
        <v>2701</v>
      </c>
      <c r="E869" s="19" t="s">
        <v>109</v>
      </c>
      <c r="F869" s="19" t="s">
        <v>241</v>
      </c>
      <c r="G869" s="19" t="s">
        <v>57</v>
      </c>
      <c r="H869" s="24" t="s">
        <v>59</v>
      </c>
      <c r="I869" s="25" t="s">
        <v>2702</v>
      </c>
      <c r="J869" s="19" t="s">
        <v>811</v>
      </c>
      <c r="K869" s="19" t="s">
        <v>82</v>
      </c>
      <c r="L869" s="22"/>
      <c r="M869" s="26"/>
      <c r="N869" s="26"/>
      <c r="O869" s="26"/>
      <c r="P869" s="26"/>
      <c r="Q869" s="26"/>
    </row>
    <row r="870" ht="15.75" hidden="1" customHeight="1">
      <c r="A870" s="31" t="s">
        <v>39</v>
      </c>
      <c r="B870" s="9" t="s">
        <v>2681</v>
      </c>
      <c r="C870" s="19" t="s">
        <v>1158</v>
      </c>
      <c r="D870" s="22" t="s">
        <v>2703</v>
      </c>
      <c r="E870" s="19" t="s">
        <v>109</v>
      </c>
      <c r="F870" s="19" t="s">
        <v>241</v>
      </c>
      <c r="G870" s="19" t="s">
        <v>57</v>
      </c>
      <c r="H870" s="24" t="s">
        <v>59</v>
      </c>
      <c r="I870" s="25" t="s">
        <v>2704</v>
      </c>
      <c r="J870" s="19" t="s">
        <v>619</v>
      </c>
      <c r="K870" s="19" t="s">
        <v>105</v>
      </c>
      <c r="L870" s="22"/>
      <c r="M870" s="26"/>
      <c r="N870" s="26"/>
      <c r="O870" s="26"/>
      <c r="P870" s="26"/>
      <c r="Q870" s="26"/>
    </row>
    <row r="871" ht="15.75" hidden="1" customHeight="1">
      <c r="A871" s="31" t="s">
        <v>39</v>
      </c>
      <c r="B871" s="9" t="s">
        <v>2681</v>
      </c>
      <c r="C871" s="19" t="s">
        <v>2705</v>
      </c>
      <c r="D871" s="22" t="s">
        <v>2706</v>
      </c>
      <c r="E871" s="19" t="s">
        <v>109</v>
      </c>
      <c r="F871" s="19" t="s">
        <v>2707</v>
      </c>
      <c r="G871" s="19" t="s">
        <v>57</v>
      </c>
      <c r="H871" s="24" t="s">
        <v>59</v>
      </c>
      <c r="I871" s="25" t="s">
        <v>2708</v>
      </c>
      <c r="J871" s="19"/>
      <c r="K871" s="19" t="s">
        <v>74</v>
      </c>
      <c r="L871" s="22"/>
      <c r="M871" s="26"/>
      <c r="N871" s="26"/>
      <c r="O871" s="26"/>
      <c r="P871" s="26"/>
      <c r="Q871" s="26"/>
    </row>
    <row r="872" ht="15.75" hidden="1" customHeight="1">
      <c r="A872" s="31" t="s">
        <v>39</v>
      </c>
      <c r="B872" s="9" t="s">
        <v>2681</v>
      </c>
      <c r="C872" s="19" t="s">
        <v>516</v>
      </c>
      <c r="D872" s="22" t="s">
        <v>2709</v>
      </c>
      <c r="E872" s="19" t="s">
        <v>127</v>
      </c>
      <c r="F872" s="19" t="s">
        <v>89</v>
      </c>
      <c r="G872" s="19" t="s">
        <v>57</v>
      </c>
      <c r="H872" s="22" t="s">
        <v>155</v>
      </c>
      <c r="I872" s="25" t="s">
        <v>2710</v>
      </c>
      <c r="J872" s="19" t="s">
        <v>319</v>
      </c>
      <c r="K872" s="19" t="s">
        <v>78</v>
      </c>
      <c r="L872" s="22"/>
      <c r="M872" s="26"/>
      <c r="N872" s="26"/>
      <c r="O872" s="26"/>
      <c r="P872" s="26"/>
      <c r="Q872" s="26"/>
    </row>
    <row r="873" ht="15.75" hidden="1" customHeight="1">
      <c r="A873" s="31" t="s">
        <v>39</v>
      </c>
      <c r="B873" s="9" t="s">
        <v>2681</v>
      </c>
      <c r="C873" s="19" t="s">
        <v>2711</v>
      </c>
      <c r="D873" s="22" t="s">
        <v>2712</v>
      </c>
      <c r="E873" s="19" t="s">
        <v>109</v>
      </c>
      <c r="F873" s="19" t="s">
        <v>2713</v>
      </c>
      <c r="G873" s="19" t="s">
        <v>57</v>
      </c>
      <c r="H873" s="24" t="s">
        <v>59</v>
      </c>
      <c r="I873" s="25" t="s">
        <v>2714</v>
      </c>
      <c r="J873" s="19" t="s">
        <v>663</v>
      </c>
      <c r="K873" s="19" t="s">
        <v>66</v>
      </c>
      <c r="L873" s="22"/>
      <c r="M873" s="26"/>
      <c r="N873" s="26"/>
      <c r="O873" s="26"/>
      <c r="P873" s="26"/>
      <c r="Q873" s="26"/>
    </row>
    <row r="874" ht="15.75" hidden="1" customHeight="1">
      <c r="A874" s="31" t="s">
        <v>39</v>
      </c>
      <c r="B874" s="9" t="s">
        <v>2681</v>
      </c>
      <c r="C874" s="19" t="s">
        <v>2711</v>
      </c>
      <c r="D874" s="22" t="s">
        <v>2712</v>
      </c>
      <c r="E874" s="19" t="s">
        <v>109</v>
      </c>
      <c r="F874" s="19" t="s">
        <v>2715</v>
      </c>
      <c r="G874" s="19" t="s">
        <v>57</v>
      </c>
      <c r="H874" s="24" t="s">
        <v>59</v>
      </c>
      <c r="I874" s="25" t="s">
        <v>2716</v>
      </c>
      <c r="J874" s="19" t="s">
        <v>1314</v>
      </c>
      <c r="K874" s="19" t="s">
        <v>66</v>
      </c>
      <c r="L874" s="22"/>
      <c r="M874" s="26"/>
      <c r="N874" s="26"/>
      <c r="O874" s="26"/>
      <c r="P874" s="26"/>
      <c r="Q874" s="26"/>
    </row>
    <row r="875" ht="15.75" hidden="1" customHeight="1">
      <c r="A875" s="31" t="s">
        <v>39</v>
      </c>
      <c r="B875" s="9" t="s">
        <v>2681</v>
      </c>
      <c r="C875" s="19" t="s">
        <v>2711</v>
      </c>
      <c r="D875" s="22" t="s">
        <v>2712</v>
      </c>
      <c r="E875" s="19" t="s">
        <v>109</v>
      </c>
      <c r="F875" s="19" t="s">
        <v>868</v>
      </c>
      <c r="G875" s="19" t="s">
        <v>57</v>
      </c>
      <c r="H875" s="24" t="s">
        <v>59</v>
      </c>
      <c r="I875" s="25" t="s">
        <v>2716</v>
      </c>
      <c r="J875" s="19" t="s">
        <v>1314</v>
      </c>
      <c r="K875" s="19" t="s">
        <v>66</v>
      </c>
      <c r="L875" s="22"/>
      <c r="M875" s="26"/>
      <c r="N875" s="26"/>
      <c r="O875" s="26"/>
      <c r="P875" s="26"/>
      <c r="Q875" s="26"/>
    </row>
    <row r="876" ht="15.75" hidden="1" customHeight="1">
      <c r="A876" s="31" t="s">
        <v>39</v>
      </c>
      <c r="B876" s="9" t="s">
        <v>2681</v>
      </c>
      <c r="C876" s="19" t="s">
        <v>2711</v>
      </c>
      <c r="D876" s="22" t="s">
        <v>2712</v>
      </c>
      <c r="E876" s="19" t="s">
        <v>109</v>
      </c>
      <c r="F876" s="19" t="s">
        <v>2717</v>
      </c>
      <c r="G876" s="19" t="s">
        <v>57</v>
      </c>
      <c r="H876" s="24" t="s">
        <v>59</v>
      </c>
      <c r="I876" s="25" t="s">
        <v>2716</v>
      </c>
      <c r="J876" s="19" t="s">
        <v>619</v>
      </c>
      <c r="K876" s="19" t="s">
        <v>66</v>
      </c>
      <c r="L876" s="22"/>
      <c r="M876" s="26"/>
      <c r="N876" s="26"/>
      <c r="O876" s="26"/>
      <c r="P876" s="26"/>
      <c r="Q876" s="26"/>
    </row>
    <row r="877" ht="15.75" hidden="1" customHeight="1">
      <c r="A877" s="31" t="s">
        <v>39</v>
      </c>
      <c r="B877" s="9" t="s">
        <v>2681</v>
      </c>
      <c r="C877" s="19" t="s">
        <v>2711</v>
      </c>
      <c r="D877" s="22" t="s">
        <v>2718</v>
      </c>
      <c r="E877" s="19" t="s">
        <v>109</v>
      </c>
      <c r="F877" s="19" t="s">
        <v>2719</v>
      </c>
      <c r="G877" s="19" t="s">
        <v>57</v>
      </c>
      <c r="H877" s="24" t="s">
        <v>59</v>
      </c>
      <c r="I877" s="25" t="s">
        <v>2720</v>
      </c>
      <c r="J877" s="19" t="s">
        <v>337</v>
      </c>
      <c r="K877" s="19" t="s">
        <v>66</v>
      </c>
      <c r="L877" s="22"/>
      <c r="M877" s="26"/>
      <c r="N877" s="26"/>
      <c r="O877" s="26"/>
      <c r="P877" s="26"/>
      <c r="Q877" s="26"/>
    </row>
    <row r="878" ht="15.75" hidden="1" customHeight="1">
      <c r="A878" s="31" t="s">
        <v>39</v>
      </c>
      <c r="B878" s="9" t="s">
        <v>2681</v>
      </c>
      <c r="C878" s="19" t="s">
        <v>198</v>
      </c>
      <c r="D878" s="22" t="s">
        <v>2721</v>
      </c>
      <c r="E878" s="19" t="s">
        <v>109</v>
      </c>
      <c r="F878" s="19" t="s">
        <v>868</v>
      </c>
      <c r="G878" s="19" t="s">
        <v>57</v>
      </c>
      <c r="H878" s="24" t="s">
        <v>59</v>
      </c>
      <c r="I878" s="25" t="s">
        <v>2722</v>
      </c>
      <c r="J878" s="19" t="s">
        <v>1722</v>
      </c>
      <c r="K878" s="19" t="s">
        <v>110</v>
      </c>
      <c r="L878" s="22"/>
      <c r="M878" s="26"/>
      <c r="N878" s="26"/>
      <c r="O878" s="26"/>
      <c r="P878" s="26"/>
      <c r="Q878" s="26"/>
    </row>
    <row r="879" ht="15.75" hidden="1" customHeight="1">
      <c r="A879" s="31" t="s">
        <v>39</v>
      </c>
      <c r="B879" s="9" t="s">
        <v>2681</v>
      </c>
      <c r="C879" s="19" t="s">
        <v>2615</v>
      </c>
      <c r="D879" s="22" t="s">
        <v>2723</v>
      </c>
      <c r="E879" s="19" t="s">
        <v>109</v>
      </c>
      <c r="F879" s="19" t="s">
        <v>2724</v>
      </c>
      <c r="G879" s="19" t="s">
        <v>57</v>
      </c>
      <c r="H879" s="24" t="s">
        <v>59</v>
      </c>
      <c r="I879" s="25" t="s">
        <v>2618</v>
      </c>
      <c r="J879" s="19"/>
      <c r="K879" s="19" t="s">
        <v>74</v>
      </c>
      <c r="L879" s="22"/>
      <c r="M879" s="26"/>
      <c r="N879" s="26"/>
      <c r="O879" s="26"/>
      <c r="P879" s="26"/>
      <c r="Q879" s="26"/>
    </row>
    <row r="880" ht="15.75" hidden="1" customHeight="1">
      <c r="A880" s="31" t="s">
        <v>39</v>
      </c>
      <c r="B880" s="9" t="s">
        <v>2681</v>
      </c>
      <c r="C880" s="19" t="s">
        <v>2725</v>
      </c>
      <c r="D880" s="22" t="s">
        <v>2726</v>
      </c>
      <c r="E880" s="19" t="s">
        <v>109</v>
      </c>
      <c r="F880" s="19" t="s">
        <v>2727</v>
      </c>
      <c r="G880" s="19" t="s">
        <v>57</v>
      </c>
      <c r="H880" s="24" t="s">
        <v>59</v>
      </c>
      <c r="I880" s="25" t="s">
        <v>2728</v>
      </c>
      <c r="J880" s="19" t="s">
        <v>561</v>
      </c>
      <c r="K880" s="19" t="s">
        <v>94</v>
      </c>
      <c r="L880" s="22" t="s">
        <v>2729</v>
      </c>
      <c r="M880" s="26"/>
      <c r="N880" s="26"/>
      <c r="O880" s="26"/>
      <c r="P880" s="26"/>
      <c r="Q880" s="26"/>
    </row>
    <row r="881" ht="15.75" hidden="1" customHeight="1">
      <c r="A881" s="31" t="s">
        <v>39</v>
      </c>
      <c r="B881" s="9" t="s">
        <v>2681</v>
      </c>
      <c r="C881" s="19" t="s">
        <v>2725</v>
      </c>
      <c r="D881" s="22" t="s">
        <v>2730</v>
      </c>
      <c r="E881" s="19" t="s">
        <v>109</v>
      </c>
      <c r="F881" s="19" t="s">
        <v>2727</v>
      </c>
      <c r="G881" s="19" t="s">
        <v>57</v>
      </c>
      <c r="H881" s="24" t="s">
        <v>59</v>
      </c>
      <c r="I881" s="25" t="s">
        <v>2731</v>
      </c>
      <c r="J881" s="19" t="s">
        <v>561</v>
      </c>
      <c r="K881" s="19" t="s">
        <v>94</v>
      </c>
      <c r="L881" s="22" t="s">
        <v>2729</v>
      </c>
      <c r="M881" s="26"/>
      <c r="N881" s="26"/>
      <c r="O881" s="26"/>
      <c r="P881" s="26"/>
      <c r="Q881" s="26"/>
    </row>
    <row r="882" ht="15.75" customHeight="1">
      <c r="A882" s="31" t="s">
        <v>39</v>
      </c>
      <c r="B882" s="9" t="s">
        <v>2681</v>
      </c>
      <c r="C882" s="19" t="s">
        <v>2445</v>
      </c>
      <c r="D882" s="22" t="s">
        <v>2732</v>
      </c>
      <c r="E882" s="19" t="s">
        <v>115</v>
      </c>
      <c r="F882" s="19" t="s">
        <v>335</v>
      </c>
      <c r="G882" s="19" t="s">
        <v>90</v>
      </c>
      <c r="H882" s="22" t="s">
        <v>155</v>
      </c>
      <c r="I882" s="25" t="s">
        <v>1806</v>
      </c>
      <c r="J882" s="19" t="s">
        <v>2449</v>
      </c>
      <c r="K882" s="19" t="s">
        <v>130</v>
      </c>
      <c r="L882" s="22"/>
      <c r="M882" s="26"/>
      <c r="N882" s="26"/>
      <c r="O882" s="26"/>
      <c r="P882" s="26"/>
      <c r="Q882" s="26"/>
    </row>
    <row r="883" ht="15.75" hidden="1" customHeight="1">
      <c r="A883" s="31" t="s">
        <v>39</v>
      </c>
      <c r="B883" s="9" t="s">
        <v>2681</v>
      </c>
      <c r="C883" s="19" t="s">
        <v>1372</v>
      </c>
      <c r="D883" s="22" t="s">
        <v>2733</v>
      </c>
      <c r="E883" s="19" t="s">
        <v>109</v>
      </c>
      <c r="F883" s="19" t="s">
        <v>89</v>
      </c>
      <c r="G883" s="19" t="s">
        <v>57</v>
      </c>
      <c r="H883" s="24" t="s">
        <v>59</v>
      </c>
      <c r="I883" s="25" t="s">
        <v>2734</v>
      </c>
      <c r="J883" s="19" t="s">
        <v>1850</v>
      </c>
      <c r="K883" s="19" t="s">
        <v>66</v>
      </c>
      <c r="L883" s="22"/>
      <c r="M883" s="26"/>
      <c r="N883" s="26"/>
      <c r="O883" s="26"/>
      <c r="P883" s="26"/>
      <c r="Q883" s="26"/>
    </row>
    <row r="884" ht="15.75" customHeight="1">
      <c r="A884" s="31" t="s">
        <v>39</v>
      </c>
      <c r="B884" s="9" t="s">
        <v>2735</v>
      </c>
      <c r="C884" s="19" t="s">
        <v>2736</v>
      </c>
      <c r="D884" s="22" t="s">
        <v>1350</v>
      </c>
      <c r="E884" s="19" t="s">
        <v>109</v>
      </c>
      <c r="F884" s="19" t="s">
        <v>2737</v>
      </c>
      <c r="G884" s="19" t="s">
        <v>90</v>
      </c>
      <c r="H884" s="22" t="s">
        <v>155</v>
      </c>
      <c r="I884" s="25" t="s">
        <v>2738</v>
      </c>
      <c r="J884" s="19" t="s">
        <v>443</v>
      </c>
      <c r="K884" s="19" t="s">
        <v>92</v>
      </c>
      <c r="L884" s="22"/>
      <c r="M884" s="26"/>
      <c r="N884" s="26"/>
      <c r="O884" s="26"/>
      <c r="P884" s="26"/>
      <c r="Q884" s="26"/>
    </row>
    <row r="885" ht="15.75" customHeight="1">
      <c r="A885" s="31" t="s">
        <v>39</v>
      </c>
      <c r="B885" s="9" t="s">
        <v>2735</v>
      </c>
      <c r="C885" s="19" t="s">
        <v>2739</v>
      </c>
      <c r="D885" s="22" t="s">
        <v>2740</v>
      </c>
      <c r="E885" s="19" t="s">
        <v>109</v>
      </c>
      <c r="F885" s="19" t="s">
        <v>2221</v>
      </c>
      <c r="G885" s="19" t="s">
        <v>90</v>
      </c>
      <c r="H885" s="22" t="s">
        <v>155</v>
      </c>
      <c r="I885" s="25" t="s">
        <v>2741</v>
      </c>
      <c r="J885" s="19"/>
      <c r="K885" s="19" t="s">
        <v>99</v>
      </c>
      <c r="L885" s="22" t="s">
        <v>1640</v>
      </c>
      <c r="M885" s="26"/>
      <c r="N885" s="26"/>
      <c r="O885" s="26"/>
      <c r="P885" s="26"/>
      <c r="Q885" s="26"/>
    </row>
    <row r="886" ht="15.75" customHeight="1">
      <c r="A886" s="31" t="s">
        <v>39</v>
      </c>
      <c r="B886" s="9" t="s">
        <v>2735</v>
      </c>
      <c r="C886" s="19" t="s">
        <v>2739</v>
      </c>
      <c r="D886" s="22" t="s">
        <v>2742</v>
      </c>
      <c r="E886" s="19" t="s">
        <v>109</v>
      </c>
      <c r="F886" s="19" t="s">
        <v>2221</v>
      </c>
      <c r="G886" s="19" t="s">
        <v>90</v>
      </c>
      <c r="H886" s="22" t="s">
        <v>155</v>
      </c>
      <c r="I886" s="25" t="s">
        <v>2743</v>
      </c>
      <c r="J886" s="19"/>
      <c r="K886" s="19" t="s">
        <v>99</v>
      </c>
      <c r="L886" s="22" t="s">
        <v>1640</v>
      </c>
      <c r="M886" s="26"/>
      <c r="N886" s="26"/>
      <c r="O886" s="26"/>
      <c r="P886" s="26"/>
      <c r="Q886" s="26"/>
    </row>
    <row r="887" ht="15.75" customHeight="1">
      <c r="A887" s="31" t="s">
        <v>39</v>
      </c>
      <c r="B887" s="9" t="s">
        <v>2735</v>
      </c>
      <c r="C887" s="19" t="s">
        <v>2469</v>
      </c>
      <c r="D887" s="22" t="s">
        <v>656</v>
      </c>
      <c r="E887" s="19" t="s">
        <v>109</v>
      </c>
      <c r="F887" s="19" t="s">
        <v>2470</v>
      </c>
      <c r="G887" s="19" t="s">
        <v>90</v>
      </c>
      <c r="H887" s="22" t="s">
        <v>155</v>
      </c>
      <c r="I887" s="25" t="s">
        <v>2744</v>
      </c>
      <c r="J887" s="19" t="s">
        <v>337</v>
      </c>
      <c r="K887" s="19" t="s">
        <v>114</v>
      </c>
      <c r="L887" s="22"/>
      <c r="M887" s="26"/>
      <c r="N887" s="26"/>
      <c r="O887" s="26"/>
      <c r="P887" s="26"/>
      <c r="Q887" s="26"/>
    </row>
    <row r="888" ht="15.75" hidden="1" customHeight="1">
      <c r="A888" s="31" t="s">
        <v>39</v>
      </c>
      <c r="B888" s="9" t="s">
        <v>2735</v>
      </c>
      <c r="C888" s="19" t="s">
        <v>192</v>
      </c>
      <c r="D888" s="22" t="s">
        <v>2745</v>
      </c>
      <c r="E888" s="19" t="s">
        <v>121</v>
      </c>
      <c r="F888" s="19" t="s">
        <v>858</v>
      </c>
      <c r="G888" s="19" t="s">
        <v>135</v>
      </c>
      <c r="H888" s="24" t="s">
        <v>59</v>
      </c>
      <c r="I888" s="25" t="s">
        <v>2746</v>
      </c>
      <c r="J888" s="19"/>
      <c r="K888" s="19" t="s">
        <v>13</v>
      </c>
      <c r="L888" s="22" t="s">
        <v>2747</v>
      </c>
      <c r="M888" s="26"/>
      <c r="N888" s="26"/>
      <c r="O888" s="26"/>
      <c r="P888" s="26"/>
      <c r="Q888" s="26"/>
    </row>
    <row r="889" ht="15.75" hidden="1" customHeight="1">
      <c r="A889" s="31" t="s">
        <v>39</v>
      </c>
      <c r="B889" s="9" t="s">
        <v>2735</v>
      </c>
      <c r="C889" s="19" t="s">
        <v>192</v>
      </c>
      <c r="D889" s="22" t="s">
        <v>2748</v>
      </c>
      <c r="E889" s="19" t="s">
        <v>121</v>
      </c>
      <c r="F889" s="19" t="s">
        <v>858</v>
      </c>
      <c r="G889" s="19" t="s">
        <v>135</v>
      </c>
      <c r="H889" s="24" t="s">
        <v>59</v>
      </c>
      <c r="I889" s="25" t="s">
        <v>2749</v>
      </c>
      <c r="J889" s="19"/>
      <c r="K889" s="19" t="s">
        <v>13</v>
      </c>
      <c r="L889" s="22" t="s">
        <v>2747</v>
      </c>
      <c r="M889" s="26"/>
      <c r="N889" s="26"/>
      <c r="O889" s="26"/>
      <c r="P889" s="26"/>
      <c r="Q889" s="26"/>
    </row>
    <row r="890" ht="15.75" hidden="1" customHeight="1">
      <c r="A890" s="31" t="s">
        <v>39</v>
      </c>
      <c r="B890" s="9" t="s">
        <v>2735</v>
      </c>
      <c r="C890" s="19" t="s">
        <v>192</v>
      </c>
      <c r="D890" s="22" t="s">
        <v>2750</v>
      </c>
      <c r="E890" s="19" t="s">
        <v>121</v>
      </c>
      <c r="F890" s="19" t="s">
        <v>135</v>
      </c>
      <c r="G890" s="19" t="s">
        <v>135</v>
      </c>
      <c r="H890" s="24" t="s">
        <v>59</v>
      </c>
      <c r="I890" s="25" t="s">
        <v>2751</v>
      </c>
      <c r="J890" s="19"/>
      <c r="K890" s="19" t="s">
        <v>100</v>
      </c>
      <c r="L890" s="22" t="s">
        <v>2752</v>
      </c>
      <c r="M890" s="26"/>
      <c r="N890" s="26"/>
      <c r="O890" s="26"/>
      <c r="P890" s="26"/>
      <c r="Q890" s="26"/>
    </row>
    <row r="891" ht="15.75" hidden="1" customHeight="1">
      <c r="A891" s="31" t="s">
        <v>39</v>
      </c>
      <c r="B891" s="9" t="s">
        <v>2735</v>
      </c>
      <c r="C891" s="19" t="s">
        <v>192</v>
      </c>
      <c r="D891" s="22" t="s">
        <v>2750</v>
      </c>
      <c r="E891" s="19" t="s">
        <v>121</v>
      </c>
      <c r="F891" s="19" t="s">
        <v>858</v>
      </c>
      <c r="G891" s="19" t="s">
        <v>135</v>
      </c>
      <c r="H891" s="24" t="s">
        <v>59</v>
      </c>
      <c r="I891" s="25" t="s">
        <v>2753</v>
      </c>
      <c r="J891" s="19"/>
      <c r="K891" s="19" t="s">
        <v>99</v>
      </c>
      <c r="L891" s="22" t="s">
        <v>1596</v>
      </c>
      <c r="M891" s="26"/>
      <c r="N891" s="26"/>
      <c r="O891" s="26"/>
      <c r="P891" s="26"/>
      <c r="Q891" s="26"/>
    </row>
    <row r="892" ht="15.75" customHeight="1">
      <c r="A892" s="31" t="s">
        <v>39</v>
      </c>
      <c r="B892" s="9" t="s">
        <v>2735</v>
      </c>
      <c r="C892" s="19" t="s">
        <v>2754</v>
      </c>
      <c r="D892" s="22" t="s">
        <v>656</v>
      </c>
      <c r="E892" s="19" t="s">
        <v>109</v>
      </c>
      <c r="F892" s="19" t="s">
        <v>868</v>
      </c>
      <c r="G892" s="19" t="s">
        <v>90</v>
      </c>
      <c r="H892" s="22" t="s">
        <v>155</v>
      </c>
      <c r="I892" s="25" t="s">
        <v>2755</v>
      </c>
      <c r="J892" s="19"/>
      <c r="K892" s="19" t="s">
        <v>100</v>
      </c>
      <c r="L892" s="22"/>
      <c r="M892" s="26"/>
      <c r="N892" s="26"/>
      <c r="O892" s="26"/>
      <c r="P892" s="26"/>
      <c r="Q892" s="26"/>
    </row>
    <row r="893" ht="15.75" customHeight="1">
      <c r="A893" s="31" t="s">
        <v>39</v>
      </c>
      <c r="B893" s="9" t="s">
        <v>2735</v>
      </c>
      <c r="C893" s="19" t="s">
        <v>2756</v>
      </c>
      <c r="D893" s="22" t="s">
        <v>1362</v>
      </c>
      <c r="E893" s="19" t="s">
        <v>109</v>
      </c>
      <c r="F893" s="19" t="s">
        <v>2757</v>
      </c>
      <c r="G893" s="19" t="s">
        <v>90</v>
      </c>
      <c r="H893" s="22" t="s">
        <v>155</v>
      </c>
      <c r="I893" s="25" t="s">
        <v>2758</v>
      </c>
      <c r="J893" s="19" t="s">
        <v>1371</v>
      </c>
      <c r="K893" s="19" t="s">
        <v>114</v>
      </c>
      <c r="L893" s="22"/>
      <c r="M893" s="26"/>
      <c r="N893" s="26"/>
      <c r="O893" s="26"/>
      <c r="P893" s="26"/>
      <c r="Q893" s="26"/>
    </row>
    <row r="894" ht="15.75" customHeight="1">
      <c r="A894" s="31" t="s">
        <v>39</v>
      </c>
      <c r="B894" s="9" t="s">
        <v>2735</v>
      </c>
      <c r="C894" s="19" t="s">
        <v>2490</v>
      </c>
      <c r="D894" s="22" t="s">
        <v>2759</v>
      </c>
      <c r="E894" s="19" t="s">
        <v>109</v>
      </c>
      <c r="F894" s="19" t="s">
        <v>2690</v>
      </c>
      <c r="G894" s="19" t="s">
        <v>90</v>
      </c>
      <c r="H894" s="22" t="s">
        <v>155</v>
      </c>
      <c r="I894" s="25" t="s">
        <v>2760</v>
      </c>
      <c r="J894" s="19" t="s">
        <v>319</v>
      </c>
      <c r="K894" s="19" t="s">
        <v>99</v>
      </c>
      <c r="L894" s="22" t="s">
        <v>2761</v>
      </c>
      <c r="M894" s="26"/>
      <c r="N894" s="26"/>
      <c r="O894" s="26"/>
      <c r="P894" s="26"/>
      <c r="Q894" s="26"/>
    </row>
    <row r="895" ht="15.75" customHeight="1">
      <c r="A895" s="31" t="s">
        <v>39</v>
      </c>
      <c r="B895" s="9" t="s">
        <v>2735</v>
      </c>
      <c r="C895" s="19" t="s">
        <v>918</v>
      </c>
      <c r="D895" s="22" t="s">
        <v>2762</v>
      </c>
      <c r="E895" s="19" t="s">
        <v>109</v>
      </c>
      <c r="F895" s="19" t="s">
        <v>2763</v>
      </c>
      <c r="G895" s="19" t="s">
        <v>90</v>
      </c>
      <c r="H895" s="22" t="s">
        <v>155</v>
      </c>
      <c r="I895" s="25" t="s">
        <v>921</v>
      </c>
      <c r="J895" s="19" t="s">
        <v>1445</v>
      </c>
      <c r="K895" s="19" t="s">
        <v>114</v>
      </c>
      <c r="L895" s="22"/>
      <c r="M895" s="26"/>
      <c r="N895" s="26"/>
      <c r="O895" s="26"/>
      <c r="P895" s="26"/>
      <c r="Q895" s="26"/>
    </row>
    <row r="896" ht="15.75" customHeight="1">
      <c r="A896" s="31" t="s">
        <v>39</v>
      </c>
      <c r="B896" s="9" t="s">
        <v>2735</v>
      </c>
      <c r="C896" s="19" t="s">
        <v>2764</v>
      </c>
      <c r="D896" s="22" t="s">
        <v>656</v>
      </c>
      <c r="E896" s="19" t="s">
        <v>109</v>
      </c>
      <c r="F896" s="19" t="s">
        <v>631</v>
      </c>
      <c r="G896" s="19" t="s">
        <v>90</v>
      </c>
      <c r="H896" s="22" t="s">
        <v>155</v>
      </c>
      <c r="I896" s="25" t="s">
        <v>2765</v>
      </c>
      <c r="J896" s="19" t="s">
        <v>1435</v>
      </c>
      <c r="K896" s="19" t="s">
        <v>114</v>
      </c>
      <c r="L896" s="22"/>
      <c r="M896" s="26"/>
      <c r="N896" s="26"/>
      <c r="O896" s="26"/>
      <c r="P896" s="26"/>
      <c r="Q896" s="26"/>
    </row>
    <row r="897" ht="15.75" customHeight="1">
      <c r="A897" s="31" t="s">
        <v>39</v>
      </c>
      <c r="B897" s="9" t="s">
        <v>2735</v>
      </c>
      <c r="C897" s="19" t="s">
        <v>1208</v>
      </c>
      <c r="D897" s="22" t="s">
        <v>656</v>
      </c>
      <c r="E897" s="19" t="s">
        <v>109</v>
      </c>
      <c r="F897" s="19" t="s">
        <v>631</v>
      </c>
      <c r="G897" s="19" t="s">
        <v>90</v>
      </c>
      <c r="H897" s="22" t="s">
        <v>155</v>
      </c>
      <c r="I897" s="25" t="s">
        <v>1210</v>
      </c>
      <c r="J897" s="19"/>
      <c r="K897" s="19" t="s">
        <v>114</v>
      </c>
      <c r="L897" s="22"/>
      <c r="M897" s="26"/>
      <c r="N897" s="26"/>
      <c r="O897" s="26"/>
      <c r="P897" s="26"/>
      <c r="Q897" s="26"/>
    </row>
    <row r="898" ht="15.75" customHeight="1">
      <c r="A898" s="31" t="s">
        <v>39</v>
      </c>
      <c r="B898" s="9" t="s">
        <v>2735</v>
      </c>
      <c r="C898" s="19" t="s">
        <v>2766</v>
      </c>
      <c r="D898" s="22" t="s">
        <v>2767</v>
      </c>
      <c r="E898" s="19" t="s">
        <v>109</v>
      </c>
      <c r="F898" s="19" t="s">
        <v>631</v>
      </c>
      <c r="G898" s="19" t="s">
        <v>90</v>
      </c>
      <c r="H898" s="22" t="s">
        <v>155</v>
      </c>
      <c r="I898" s="25" t="s">
        <v>2768</v>
      </c>
      <c r="J898" s="19" t="s">
        <v>1435</v>
      </c>
      <c r="K898" s="19" t="s">
        <v>114</v>
      </c>
      <c r="L898" s="22"/>
      <c r="M898" s="26"/>
      <c r="N898" s="26"/>
      <c r="O898" s="26"/>
      <c r="P898" s="26"/>
      <c r="Q898" s="26"/>
    </row>
    <row r="899" ht="15.75" customHeight="1">
      <c r="A899" s="31" t="s">
        <v>39</v>
      </c>
      <c r="B899" s="9" t="s">
        <v>2735</v>
      </c>
      <c r="C899" s="19" t="s">
        <v>2766</v>
      </c>
      <c r="D899" s="22" t="s">
        <v>2769</v>
      </c>
      <c r="E899" s="19" t="s">
        <v>109</v>
      </c>
      <c r="F899" s="19" t="s">
        <v>631</v>
      </c>
      <c r="G899" s="19" t="s">
        <v>90</v>
      </c>
      <c r="H899" s="22" t="s">
        <v>155</v>
      </c>
      <c r="I899" s="25" t="s">
        <v>2770</v>
      </c>
      <c r="J899" s="19" t="s">
        <v>1435</v>
      </c>
      <c r="K899" s="19" t="s">
        <v>114</v>
      </c>
      <c r="L899" s="22"/>
      <c r="M899" s="26"/>
      <c r="N899" s="26"/>
      <c r="O899" s="26"/>
      <c r="P899" s="26"/>
      <c r="Q899" s="26"/>
    </row>
    <row r="900" ht="15.75" customHeight="1">
      <c r="A900" s="31" t="s">
        <v>39</v>
      </c>
      <c r="B900" s="9" t="s">
        <v>2735</v>
      </c>
      <c r="C900" s="19" t="s">
        <v>2766</v>
      </c>
      <c r="D900" s="22" t="s">
        <v>2771</v>
      </c>
      <c r="E900" s="19" t="s">
        <v>109</v>
      </c>
      <c r="F900" s="19" t="s">
        <v>631</v>
      </c>
      <c r="G900" s="19" t="s">
        <v>90</v>
      </c>
      <c r="H900" s="22" t="s">
        <v>155</v>
      </c>
      <c r="I900" s="25" t="s">
        <v>2772</v>
      </c>
      <c r="J900" s="19" t="s">
        <v>1217</v>
      </c>
      <c r="K900" s="19" t="s">
        <v>114</v>
      </c>
      <c r="L900" s="22"/>
      <c r="M900" s="26"/>
      <c r="N900" s="26"/>
      <c r="O900" s="26"/>
      <c r="P900" s="26"/>
      <c r="Q900" s="26"/>
    </row>
    <row r="901" ht="15.75" customHeight="1">
      <c r="A901" s="31" t="s">
        <v>39</v>
      </c>
      <c r="B901" s="9" t="s">
        <v>2735</v>
      </c>
      <c r="C901" s="19" t="s">
        <v>1716</v>
      </c>
      <c r="D901" s="22" t="s">
        <v>2773</v>
      </c>
      <c r="E901" s="19" t="s">
        <v>109</v>
      </c>
      <c r="F901" s="19" t="s">
        <v>89</v>
      </c>
      <c r="G901" s="19" t="s">
        <v>90</v>
      </c>
      <c r="H901" s="22" t="s">
        <v>155</v>
      </c>
      <c r="I901" s="25" t="s">
        <v>2774</v>
      </c>
      <c r="J901" s="19" t="s">
        <v>936</v>
      </c>
      <c r="K901" s="19" t="s">
        <v>92</v>
      </c>
      <c r="L901" s="22"/>
      <c r="M901" s="26"/>
      <c r="N901" s="26"/>
      <c r="O901" s="26"/>
      <c r="P901" s="26"/>
      <c r="Q901" s="26"/>
    </row>
    <row r="902" ht="15.75" customHeight="1">
      <c r="A902" s="31" t="s">
        <v>39</v>
      </c>
      <c r="B902" s="9" t="s">
        <v>2735</v>
      </c>
      <c r="C902" s="19" t="s">
        <v>1716</v>
      </c>
      <c r="D902" s="22" t="s">
        <v>2775</v>
      </c>
      <c r="E902" s="19" t="s">
        <v>109</v>
      </c>
      <c r="F902" s="19" t="s">
        <v>89</v>
      </c>
      <c r="G902" s="19" t="s">
        <v>90</v>
      </c>
      <c r="H902" s="22" t="s">
        <v>155</v>
      </c>
      <c r="I902" s="25" t="s">
        <v>2776</v>
      </c>
      <c r="J902" s="19" t="s">
        <v>936</v>
      </c>
      <c r="K902" s="19" t="s">
        <v>92</v>
      </c>
      <c r="L902" s="22"/>
      <c r="M902" s="26"/>
      <c r="N902" s="26"/>
      <c r="O902" s="26"/>
      <c r="P902" s="26"/>
      <c r="Q902" s="26"/>
    </row>
    <row r="903" ht="15.75" customHeight="1">
      <c r="A903" s="31" t="s">
        <v>39</v>
      </c>
      <c r="B903" s="9" t="s">
        <v>2735</v>
      </c>
      <c r="C903" s="19" t="s">
        <v>1716</v>
      </c>
      <c r="D903" s="22" t="s">
        <v>2777</v>
      </c>
      <c r="E903" s="19" t="s">
        <v>109</v>
      </c>
      <c r="F903" s="19" t="s">
        <v>89</v>
      </c>
      <c r="G903" s="19" t="s">
        <v>90</v>
      </c>
      <c r="H903" s="22" t="s">
        <v>155</v>
      </c>
      <c r="I903" s="25" t="s">
        <v>2778</v>
      </c>
      <c r="J903" s="19" t="s">
        <v>936</v>
      </c>
      <c r="K903" s="19" t="s">
        <v>92</v>
      </c>
      <c r="L903" s="22"/>
      <c r="M903" s="26"/>
      <c r="N903" s="26"/>
      <c r="O903" s="26"/>
      <c r="P903" s="26"/>
      <c r="Q903" s="26"/>
    </row>
    <row r="904" ht="15.75" hidden="1" customHeight="1">
      <c r="A904" s="31" t="s">
        <v>39</v>
      </c>
      <c r="B904" s="9" t="s">
        <v>2735</v>
      </c>
      <c r="C904" s="19" t="s">
        <v>2779</v>
      </c>
      <c r="D904" s="22" t="s">
        <v>2780</v>
      </c>
      <c r="E904" s="19" t="s">
        <v>109</v>
      </c>
      <c r="F904" s="19" t="s">
        <v>335</v>
      </c>
      <c r="G904" s="19" t="s">
        <v>57</v>
      </c>
      <c r="H904" s="22" t="s">
        <v>155</v>
      </c>
      <c r="I904" s="25" t="s">
        <v>2781</v>
      </c>
      <c r="J904" s="19" t="s">
        <v>982</v>
      </c>
      <c r="K904" s="19" t="s">
        <v>110</v>
      </c>
      <c r="L904" s="22"/>
      <c r="M904" s="26"/>
      <c r="N904" s="26"/>
      <c r="O904" s="26"/>
      <c r="P904" s="26"/>
      <c r="Q904" s="26"/>
    </row>
    <row r="905" ht="15.75" customHeight="1">
      <c r="A905" s="31" t="s">
        <v>39</v>
      </c>
      <c r="B905" s="9" t="s">
        <v>2735</v>
      </c>
      <c r="C905" s="19" t="s">
        <v>2782</v>
      </c>
      <c r="D905" s="22" t="s">
        <v>2015</v>
      </c>
      <c r="E905" s="19" t="s">
        <v>109</v>
      </c>
      <c r="F905" s="19" t="s">
        <v>2783</v>
      </c>
      <c r="G905" s="19" t="s">
        <v>90</v>
      </c>
      <c r="H905" s="22" t="s">
        <v>155</v>
      </c>
      <c r="I905" s="25" t="s">
        <v>2784</v>
      </c>
      <c r="J905" s="19" t="s">
        <v>782</v>
      </c>
      <c r="K905" s="19" t="s">
        <v>78</v>
      </c>
      <c r="L905" s="22"/>
      <c r="M905" s="26"/>
      <c r="N905" s="26"/>
      <c r="O905" s="26"/>
      <c r="P905" s="26"/>
      <c r="Q905" s="26"/>
    </row>
    <row r="906" ht="15.75" customHeight="1">
      <c r="A906" s="31" t="s">
        <v>39</v>
      </c>
      <c r="B906" s="9" t="s">
        <v>2735</v>
      </c>
      <c r="C906" s="19" t="s">
        <v>2782</v>
      </c>
      <c r="D906" s="22" t="s">
        <v>2785</v>
      </c>
      <c r="E906" s="19" t="s">
        <v>109</v>
      </c>
      <c r="F906" s="19" t="s">
        <v>2783</v>
      </c>
      <c r="G906" s="19" t="s">
        <v>90</v>
      </c>
      <c r="H906" s="22" t="s">
        <v>155</v>
      </c>
      <c r="I906" s="25" t="s">
        <v>2784</v>
      </c>
      <c r="J906" s="19" t="s">
        <v>782</v>
      </c>
      <c r="K906" s="19" t="s">
        <v>78</v>
      </c>
      <c r="L906" s="22"/>
      <c r="M906" s="26"/>
      <c r="N906" s="26"/>
      <c r="O906" s="26"/>
      <c r="P906" s="26"/>
      <c r="Q906" s="26"/>
    </row>
    <row r="907" ht="15.75" hidden="1" customHeight="1">
      <c r="A907" s="31" t="s">
        <v>39</v>
      </c>
      <c r="B907" s="9" t="s">
        <v>2735</v>
      </c>
      <c r="C907" s="19" t="s">
        <v>2786</v>
      </c>
      <c r="D907" s="22" t="s">
        <v>2787</v>
      </c>
      <c r="E907" s="19" t="s">
        <v>109</v>
      </c>
      <c r="F907" s="19" t="s">
        <v>335</v>
      </c>
      <c r="G907" s="19" t="s">
        <v>57</v>
      </c>
      <c r="H907" s="22" t="s">
        <v>155</v>
      </c>
      <c r="I907" s="25" t="s">
        <v>2788</v>
      </c>
      <c r="J907" s="19" t="s">
        <v>2789</v>
      </c>
      <c r="K907" s="19" t="s">
        <v>130</v>
      </c>
      <c r="L907" s="22" t="s">
        <v>2790</v>
      </c>
      <c r="M907" s="26"/>
      <c r="N907" s="26"/>
      <c r="O907" s="26"/>
      <c r="P907" s="26"/>
      <c r="Q907" s="26"/>
    </row>
    <row r="908" ht="15.75" customHeight="1">
      <c r="A908" s="31" t="s">
        <v>39</v>
      </c>
      <c r="B908" s="9" t="s">
        <v>2735</v>
      </c>
      <c r="C908" s="19" t="s">
        <v>2791</v>
      </c>
      <c r="D908" s="22" t="s">
        <v>2792</v>
      </c>
      <c r="E908" s="19" t="s">
        <v>109</v>
      </c>
      <c r="F908" s="19" t="s">
        <v>2793</v>
      </c>
      <c r="G908" s="19" t="s">
        <v>90</v>
      </c>
      <c r="H908" s="22" t="s">
        <v>155</v>
      </c>
      <c r="I908" s="25" t="s">
        <v>2794</v>
      </c>
      <c r="J908" s="19" t="s">
        <v>635</v>
      </c>
      <c r="K908" s="19" t="s">
        <v>114</v>
      </c>
      <c r="L908" s="22"/>
      <c r="M908" s="26"/>
      <c r="N908" s="26"/>
      <c r="O908" s="26"/>
      <c r="P908" s="26"/>
      <c r="Q908" s="26"/>
    </row>
    <row r="909" ht="15.75" customHeight="1">
      <c r="A909" s="31" t="s">
        <v>39</v>
      </c>
      <c r="B909" s="9" t="s">
        <v>2735</v>
      </c>
      <c r="C909" s="19" t="s">
        <v>2795</v>
      </c>
      <c r="D909" s="22" t="s">
        <v>1666</v>
      </c>
      <c r="E909" s="19" t="s">
        <v>109</v>
      </c>
      <c r="F909" s="19" t="s">
        <v>2796</v>
      </c>
      <c r="G909" s="19" t="s">
        <v>90</v>
      </c>
      <c r="H909" s="22" t="s">
        <v>155</v>
      </c>
      <c r="I909" s="25" t="s">
        <v>2797</v>
      </c>
      <c r="J909" s="19" t="s">
        <v>635</v>
      </c>
      <c r="K909" s="19" t="s">
        <v>114</v>
      </c>
      <c r="L909" s="22"/>
      <c r="M909" s="26"/>
      <c r="N909" s="26"/>
      <c r="O909" s="26"/>
      <c r="P909" s="26"/>
      <c r="Q909" s="26"/>
    </row>
    <row r="910" ht="15.75" customHeight="1">
      <c r="A910" s="31" t="s">
        <v>39</v>
      </c>
      <c r="B910" s="9" t="s">
        <v>2735</v>
      </c>
      <c r="C910" s="19" t="s">
        <v>2798</v>
      </c>
      <c r="D910" s="22" t="s">
        <v>2799</v>
      </c>
      <c r="E910" s="19" t="s">
        <v>109</v>
      </c>
      <c r="F910" s="19" t="s">
        <v>2800</v>
      </c>
      <c r="G910" s="19" t="s">
        <v>90</v>
      </c>
      <c r="H910" s="22" t="s">
        <v>155</v>
      </c>
      <c r="I910" s="25" t="s">
        <v>2801</v>
      </c>
      <c r="J910" s="19" t="s">
        <v>176</v>
      </c>
      <c r="K910" s="19" t="s">
        <v>92</v>
      </c>
      <c r="L910" s="22"/>
      <c r="M910" s="26"/>
      <c r="N910" s="26"/>
      <c r="O910" s="26"/>
      <c r="P910" s="26"/>
      <c r="Q910" s="26"/>
    </row>
    <row r="911" ht="15.75" customHeight="1">
      <c r="A911" s="31" t="s">
        <v>39</v>
      </c>
      <c r="B911" s="9" t="s">
        <v>2735</v>
      </c>
      <c r="C911" s="19" t="s">
        <v>2802</v>
      </c>
      <c r="D911" s="22" t="s">
        <v>2803</v>
      </c>
      <c r="E911" s="19" t="s">
        <v>109</v>
      </c>
      <c r="F911" s="19" t="s">
        <v>1414</v>
      </c>
      <c r="G911" s="19" t="s">
        <v>90</v>
      </c>
      <c r="H911" s="22" t="s">
        <v>155</v>
      </c>
      <c r="I911" s="25" t="s">
        <v>2804</v>
      </c>
      <c r="J911" s="19"/>
      <c r="K911" s="19" t="s">
        <v>122</v>
      </c>
      <c r="L911" s="22" t="s">
        <v>1846</v>
      </c>
      <c r="M911" s="26"/>
      <c r="N911" s="26"/>
      <c r="O911" s="26"/>
      <c r="P911" s="26"/>
      <c r="Q911" s="26"/>
    </row>
    <row r="912" ht="15.75" customHeight="1">
      <c r="A912" s="31" t="s">
        <v>39</v>
      </c>
      <c r="B912" s="9" t="s">
        <v>2735</v>
      </c>
      <c r="C912" s="19" t="s">
        <v>1447</v>
      </c>
      <c r="D912" s="22" t="s">
        <v>656</v>
      </c>
      <c r="E912" s="19" t="s">
        <v>109</v>
      </c>
      <c r="F912" s="19" t="s">
        <v>868</v>
      </c>
      <c r="G912" s="19" t="s">
        <v>90</v>
      </c>
      <c r="H912" s="22" t="s">
        <v>155</v>
      </c>
      <c r="I912" s="25" t="s">
        <v>2805</v>
      </c>
      <c r="J912" s="19" t="s">
        <v>619</v>
      </c>
      <c r="K912" s="19" t="s">
        <v>92</v>
      </c>
      <c r="L912" s="22"/>
      <c r="M912" s="26"/>
      <c r="N912" s="26"/>
      <c r="O912" s="26"/>
      <c r="P912" s="26"/>
      <c r="Q912" s="26"/>
    </row>
    <row r="913" ht="15.75" hidden="1" customHeight="1">
      <c r="A913" s="31" t="s">
        <v>39</v>
      </c>
      <c r="B913" s="9" t="s">
        <v>2735</v>
      </c>
      <c r="C913" s="19" t="s">
        <v>2806</v>
      </c>
      <c r="D913" s="22" t="s">
        <v>656</v>
      </c>
      <c r="E913" s="19" t="s">
        <v>109</v>
      </c>
      <c r="F913" s="19" t="s">
        <v>335</v>
      </c>
      <c r="G913" s="19" t="s">
        <v>57</v>
      </c>
      <c r="H913" s="22" t="s">
        <v>155</v>
      </c>
      <c r="I913" s="25" t="s">
        <v>2807</v>
      </c>
      <c r="J913" s="19" t="s">
        <v>1445</v>
      </c>
      <c r="K913" s="19" t="s">
        <v>110</v>
      </c>
      <c r="L913" s="22"/>
      <c r="M913" s="26"/>
      <c r="N913" s="26"/>
      <c r="O913" s="26"/>
      <c r="P913" s="26"/>
      <c r="Q913" s="26"/>
    </row>
    <row r="914" ht="15.75" hidden="1" customHeight="1">
      <c r="A914" s="31" t="s">
        <v>39</v>
      </c>
      <c r="B914" s="9" t="s">
        <v>2735</v>
      </c>
      <c r="C914" s="19" t="s">
        <v>2808</v>
      </c>
      <c r="D914" s="22" t="s">
        <v>656</v>
      </c>
      <c r="E914" s="19" t="s">
        <v>109</v>
      </c>
      <c r="F914" s="19" t="s">
        <v>2809</v>
      </c>
      <c r="G914" s="19" t="s">
        <v>57</v>
      </c>
      <c r="H914" s="22" t="s">
        <v>155</v>
      </c>
      <c r="I914" s="25" t="s">
        <v>2810</v>
      </c>
      <c r="J914" s="19"/>
      <c r="K914" s="19" t="s">
        <v>74</v>
      </c>
      <c r="L914" s="22"/>
      <c r="M914" s="26"/>
      <c r="N914" s="26"/>
      <c r="O914" s="26"/>
      <c r="P914" s="26"/>
      <c r="Q914" s="26"/>
    </row>
    <row r="915" ht="15.75" hidden="1" customHeight="1">
      <c r="A915" s="31" t="s">
        <v>39</v>
      </c>
      <c r="B915" s="9" t="s">
        <v>2735</v>
      </c>
      <c r="C915" s="19" t="s">
        <v>2143</v>
      </c>
      <c r="D915" s="22" t="s">
        <v>2811</v>
      </c>
      <c r="E915" s="19" t="s">
        <v>109</v>
      </c>
      <c r="F915" s="19" t="s">
        <v>335</v>
      </c>
      <c r="G915" s="19" t="s">
        <v>57</v>
      </c>
      <c r="H915" s="22" t="s">
        <v>155</v>
      </c>
      <c r="I915" s="25" t="s">
        <v>2812</v>
      </c>
      <c r="J915" s="19" t="s">
        <v>982</v>
      </c>
      <c r="K915" s="19" t="s">
        <v>78</v>
      </c>
      <c r="L915" s="22"/>
      <c r="M915" s="26"/>
      <c r="N915" s="26"/>
      <c r="O915" s="26"/>
      <c r="P915" s="26"/>
      <c r="Q915" s="26"/>
    </row>
    <row r="916" ht="15.75" customHeight="1">
      <c r="A916" s="31" t="s">
        <v>39</v>
      </c>
      <c r="B916" s="9" t="s">
        <v>2735</v>
      </c>
      <c r="C916" s="19" t="s">
        <v>2596</v>
      </c>
      <c r="D916" s="22" t="s">
        <v>2813</v>
      </c>
      <c r="E916" s="19" t="s">
        <v>109</v>
      </c>
      <c r="F916" s="19" t="s">
        <v>631</v>
      </c>
      <c r="G916" s="19" t="s">
        <v>90</v>
      </c>
      <c r="H916" s="22" t="s">
        <v>155</v>
      </c>
      <c r="I916" s="25" t="s">
        <v>2772</v>
      </c>
      <c r="J916" s="19"/>
      <c r="K916" s="19" t="s">
        <v>112</v>
      </c>
      <c r="L916" s="22"/>
      <c r="M916" s="26"/>
      <c r="N916" s="26"/>
      <c r="O916" s="26"/>
      <c r="P916" s="26"/>
      <c r="Q916" s="26"/>
    </row>
    <row r="917" ht="15.75" customHeight="1">
      <c r="A917" s="31" t="s">
        <v>39</v>
      </c>
      <c r="B917" s="9" t="s">
        <v>2735</v>
      </c>
      <c r="C917" s="19" t="s">
        <v>2814</v>
      </c>
      <c r="D917" s="22" t="s">
        <v>656</v>
      </c>
      <c r="E917" s="19" t="s">
        <v>109</v>
      </c>
      <c r="F917" s="19" t="s">
        <v>2815</v>
      </c>
      <c r="G917" s="19" t="s">
        <v>90</v>
      </c>
      <c r="H917" s="22" t="s">
        <v>155</v>
      </c>
      <c r="I917" s="25" t="s">
        <v>2816</v>
      </c>
      <c r="J917" s="19" t="s">
        <v>95</v>
      </c>
      <c r="K917" s="19" t="s">
        <v>114</v>
      </c>
      <c r="L917" s="22"/>
      <c r="M917" s="26"/>
      <c r="N917" s="26"/>
      <c r="O917" s="26"/>
      <c r="P917" s="26"/>
      <c r="Q917" s="26"/>
    </row>
    <row r="918" ht="15.75" customHeight="1">
      <c r="A918" s="31" t="s">
        <v>39</v>
      </c>
      <c r="B918" s="9" t="s">
        <v>2735</v>
      </c>
      <c r="C918" s="19" t="s">
        <v>2817</v>
      </c>
      <c r="D918" s="22" t="s">
        <v>656</v>
      </c>
      <c r="E918" s="19" t="s">
        <v>109</v>
      </c>
      <c r="F918" s="19" t="s">
        <v>868</v>
      </c>
      <c r="G918" s="19" t="s">
        <v>90</v>
      </c>
      <c r="H918" s="22" t="s">
        <v>155</v>
      </c>
      <c r="I918" s="25" t="s">
        <v>2818</v>
      </c>
      <c r="J918" s="19" t="s">
        <v>337</v>
      </c>
      <c r="K918" s="19" t="s">
        <v>92</v>
      </c>
      <c r="L918" s="22"/>
      <c r="M918" s="26"/>
      <c r="N918" s="26"/>
      <c r="O918" s="26"/>
      <c r="P918" s="26"/>
      <c r="Q918" s="26"/>
    </row>
    <row r="919" ht="15.75" customHeight="1">
      <c r="A919" s="31" t="s">
        <v>39</v>
      </c>
      <c r="B919" s="9" t="s">
        <v>2735</v>
      </c>
      <c r="C919" s="19" t="s">
        <v>2817</v>
      </c>
      <c r="D919" s="22" t="s">
        <v>2819</v>
      </c>
      <c r="E919" s="19" t="s">
        <v>109</v>
      </c>
      <c r="F919" s="19" t="s">
        <v>868</v>
      </c>
      <c r="G919" s="19" t="s">
        <v>90</v>
      </c>
      <c r="H919" s="22" t="s">
        <v>155</v>
      </c>
      <c r="I919" s="25" t="s">
        <v>2820</v>
      </c>
      <c r="J919" s="19"/>
      <c r="K919" s="19" t="s">
        <v>112</v>
      </c>
      <c r="L919" s="22"/>
      <c r="M919" s="26"/>
      <c r="N919" s="26"/>
      <c r="O919" s="26"/>
      <c r="P919" s="26"/>
      <c r="Q919" s="26"/>
    </row>
    <row r="920" ht="15.75" customHeight="1">
      <c r="A920" s="31" t="s">
        <v>39</v>
      </c>
      <c r="B920" s="9" t="s">
        <v>2735</v>
      </c>
      <c r="C920" s="19" t="s">
        <v>187</v>
      </c>
      <c r="D920" s="22" t="s">
        <v>656</v>
      </c>
      <c r="E920" s="19" t="s">
        <v>109</v>
      </c>
      <c r="F920" s="19" t="s">
        <v>2821</v>
      </c>
      <c r="G920" s="19" t="s">
        <v>90</v>
      </c>
      <c r="H920" s="22" t="s">
        <v>155</v>
      </c>
      <c r="I920" s="25" t="s">
        <v>1631</v>
      </c>
      <c r="J920" s="19" t="s">
        <v>337</v>
      </c>
      <c r="K920" s="19" t="s">
        <v>92</v>
      </c>
      <c r="L920" s="22"/>
      <c r="M920" s="26"/>
      <c r="N920" s="26"/>
      <c r="O920" s="26"/>
      <c r="P920" s="26"/>
      <c r="Q920" s="26"/>
    </row>
    <row r="921" ht="15.75" customHeight="1">
      <c r="A921" s="31" t="s">
        <v>39</v>
      </c>
      <c r="B921" s="9" t="s">
        <v>2735</v>
      </c>
      <c r="C921" s="19" t="s">
        <v>187</v>
      </c>
      <c r="D921" s="22" t="s">
        <v>656</v>
      </c>
      <c r="E921" s="19" t="s">
        <v>109</v>
      </c>
      <c r="F921" s="19" t="s">
        <v>421</v>
      </c>
      <c r="G921" s="19" t="s">
        <v>90</v>
      </c>
      <c r="H921" s="22" t="s">
        <v>155</v>
      </c>
      <c r="I921" s="25" t="s">
        <v>1632</v>
      </c>
      <c r="J921" s="19" t="s">
        <v>337</v>
      </c>
      <c r="K921" s="19" t="s">
        <v>92</v>
      </c>
      <c r="L921" s="22"/>
      <c r="M921" s="26"/>
      <c r="N921" s="26"/>
      <c r="O921" s="26"/>
      <c r="P921" s="26"/>
      <c r="Q921" s="26"/>
    </row>
    <row r="922" ht="15.75" customHeight="1">
      <c r="A922" s="31" t="s">
        <v>39</v>
      </c>
      <c r="B922" s="9" t="s">
        <v>2735</v>
      </c>
      <c r="C922" s="19" t="s">
        <v>187</v>
      </c>
      <c r="D922" s="22" t="s">
        <v>2822</v>
      </c>
      <c r="E922" s="19" t="s">
        <v>109</v>
      </c>
      <c r="F922" s="19" t="s">
        <v>103</v>
      </c>
      <c r="G922" s="19" t="s">
        <v>90</v>
      </c>
      <c r="H922" s="22" t="s">
        <v>155</v>
      </c>
      <c r="I922" s="25" t="s">
        <v>1636</v>
      </c>
      <c r="J922" s="19" t="s">
        <v>337</v>
      </c>
      <c r="K922" s="19" t="s">
        <v>92</v>
      </c>
      <c r="L922" s="22"/>
      <c r="M922" s="26"/>
      <c r="N922" s="26"/>
      <c r="O922" s="26"/>
      <c r="P922" s="26"/>
      <c r="Q922" s="26"/>
    </row>
    <row r="923" ht="15.75" customHeight="1">
      <c r="A923" s="31" t="s">
        <v>39</v>
      </c>
      <c r="B923" s="9" t="s">
        <v>2735</v>
      </c>
      <c r="C923" s="19" t="s">
        <v>2823</v>
      </c>
      <c r="D923" s="22" t="s">
        <v>1362</v>
      </c>
      <c r="E923" s="19" t="s">
        <v>109</v>
      </c>
      <c r="F923" s="19" t="s">
        <v>2565</v>
      </c>
      <c r="G923" s="19" t="s">
        <v>90</v>
      </c>
      <c r="H923" s="22" t="s">
        <v>155</v>
      </c>
      <c r="I923" s="25" t="s">
        <v>2824</v>
      </c>
      <c r="J923" s="19"/>
      <c r="K923" s="19" t="s">
        <v>100</v>
      </c>
      <c r="L923" s="22"/>
      <c r="M923" s="26"/>
      <c r="N923" s="26"/>
      <c r="O923" s="26"/>
      <c r="P923" s="26"/>
      <c r="Q923" s="26"/>
    </row>
    <row r="924" ht="15.75" customHeight="1">
      <c r="A924" s="31" t="s">
        <v>39</v>
      </c>
      <c r="B924" s="9" t="s">
        <v>2735</v>
      </c>
      <c r="C924" s="19" t="s">
        <v>2825</v>
      </c>
      <c r="D924" s="22" t="s">
        <v>656</v>
      </c>
      <c r="E924" s="19" t="s">
        <v>109</v>
      </c>
      <c r="F924" s="19" t="s">
        <v>631</v>
      </c>
      <c r="G924" s="19" t="s">
        <v>90</v>
      </c>
      <c r="H924" s="22" t="s">
        <v>155</v>
      </c>
      <c r="I924" s="25" t="s">
        <v>2826</v>
      </c>
      <c r="J924" s="19" t="s">
        <v>627</v>
      </c>
      <c r="K924" s="19" t="s">
        <v>114</v>
      </c>
      <c r="L924" s="22"/>
      <c r="M924" s="26"/>
      <c r="N924" s="26"/>
      <c r="O924" s="26"/>
      <c r="P924" s="26"/>
      <c r="Q924" s="26"/>
    </row>
    <row r="925" ht="15.75" customHeight="1">
      <c r="A925" s="31" t="s">
        <v>39</v>
      </c>
      <c r="B925" s="9" t="s">
        <v>2735</v>
      </c>
      <c r="C925" s="19" t="s">
        <v>2827</v>
      </c>
      <c r="D925" s="22" t="s">
        <v>2828</v>
      </c>
      <c r="E925" s="19" t="s">
        <v>109</v>
      </c>
      <c r="F925" s="19" t="s">
        <v>2829</v>
      </c>
      <c r="G925" s="19" t="s">
        <v>90</v>
      </c>
      <c r="H925" s="22" t="s">
        <v>155</v>
      </c>
      <c r="I925" s="25" t="s">
        <v>2830</v>
      </c>
      <c r="J925" s="19"/>
      <c r="K925" s="19" t="s">
        <v>112</v>
      </c>
      <c r="L925" s="22"/>
      <c r="M925" s="26"/>
      <c r="N925" s="26"/>
      <c r="O925" s="26"/>
      <c r="P925" s="26"/>
      <c r="Q925" s="26"/>
    </row>
    <row r="926" ht="15.75" hidden="1" customHeight="1">
      <c r="A926" s="31" t="s">
        <v>39</v>
      </c>
      <c r="B926" s="9" t="s">
        <v>2735</v>
      </c>
      <c r="C926" s="19" t="s">
        <v>1287</v>
      </c>
      <c r="D926" s="22" t="s">
        <v>2831</v>
      </c>
      <c r="E926" s="19" t="s">
        <v>109</v>
      </c>
      <c r="F926" s="19" t="s">
        <v>335</v>
      </c>
      <c r="G926" s="19" t="s">
        <v>57</v>
      </c>
      <c r="H926" s="22" t="s">
        <v>155</v>
      </c>
      <c r="I926" s="25" t="s">
        <v>2832</v>
      </c>
      <c r="J926" s="19" t="s">
        <v>619</v>
      </c>
      <c r="K926" s="19" t="s">
        <v>105</v>
      </c>
      <c r="L926" s="22"/>
      <c r="M926" s="26"/>
      <c r="N926" s="26"/>
      <c r="O926" s="26"/>
      <c r="P926" s="26"/>
      <c r="Q926" s="26"/>
    </row>
    <row r="927" ht="15.75" customHeight="1">
      <c r="A927" s="31" t="s">
        <v>39</v>
      </c>
      <c r="B927" s="9" t="s">
        <v>2735</v>
      </c>
      <c r="C927" s="19" t="s">
        <v>2833</v>
      </c>
      <c r="D927" s="22" t="s">
        <v>2834</v>
      </c>
      <c r="E927" s="19" t="s">
        <v>109</v>
      </c>
      <c r="F927" s="19" t="s">
        <v>2835</v>
      </c>
      <c r="G927" s="19" t="s">
        <v>90</v>
      </c>
      <c r="H927" s="22" t="s">
        <v>155</v>
      </c>
      <c r="I927" s="25" t="s">
        <v>2836</v>
      </c>
      <c r="J927" s="19"/>
      <c r="K927" s="19" t="s">
        <v>114</v>
      </c>
      <c r="L927" s="22"/>
      <c r="M927" s="26"/>
      <c r="N927" s="26"/>
      <c r="O927" s="26"/>
      <c r="P927" s="26"/>
      <c r="Q927" s="26"/>
    </row>
    <row r="928" ht="15.75" customHeight="1">
      <c r="A928" s="31" t="s">
        <v>39</v>
      </c>
      <c r="B928" s="9" t="s">
        <v>2735</v>
      </c>
      <c r="C928" s="19" t="s">
        <v>2837</v>
      </c>
      <c r="D928" s="22" t="s">
        <v>2838</v>
      </c>
      <c r="E928" s="19" t="s">
        <v>109</v>
      </c>
      <c r="F928" s="19" t="s">
        <v>134</v>
      </c>
      <c r="G928" s="19" t="s">
        <v>90</v>
      </c>
      <c r="H928" s="22" t="s">
        <v>155</v>
      </c>
      <c r="I928" s="25" t="s">
        <v>2839</v>
      </c>
      <c r="J928" s="19"/>
      <c r="K928" s="19" t="s">
        <v>112</v>
      </c>
      <c r="L928" s="22"/>
      <c r="M928" s="26"/>
      <c r="N928" s="26"/>
      <c r="O928" s="26"/>
      <c r="P928" s="26"/>
      <c r="Q928" s="26"/>
    </row>
    <row r="929" ht="15.75" customHeight="1">
      <c r="A929" s="31" t="s">
        <v>39</v>
      </c>
      <c r="B929" s="9" t="s">
        <v>2735</v>
      </c>
      <c r="C929" s="19" t="s">
        <v>2837</v>
      </c>
      <c r="D929" s="22" t="s">
        <v>2840</v>
      </c>
      <c r="E929" s="19" t="s">
        <v>109</v>
      </c>
      <c r="F929" s="19" t="s">
        <v>134</v>
      </c>
      <c r="G929" s="19" t="s">
        <v>90</v>
      </c>
      <c r="H929" s="22" t="s">
        <v>155</v>
      </c>
      <c r="I929" s="25" t="s">
        <v>2839</v>
      </c>
      <c r="J929" s="19"/>
      <c r="K929" s="19" t="s">
        <v>112</v>
      </c>
      <c r="L929" s="22"/>
      <c r="M929" s="26"/>
      <c r="N929" s="26"/>
      <c r="O929" s="26"/>
      <c r="P929" s="26"/>
      <c r="Q929" s="26"/>
    </row>
    <row r="930" ht="15.75" customHeight="1">
      <c r="A930" s="31" t="s">
        <v>39</v>
      </c>
      <c r="B930" s="9" t="s">
        <v>2735</v>
      </c>
      <c r="C930" s="19" t="s">
        <v>2841</v>
      </c>
      <c r="D930" s="22" t="s">
        <v>656</v>
      </c>
      <c r="E930" s="19" t="s">
        <v>109</v>
      </c>
      <c r="F930" s="19" t="s">
        <v>2842</v>
      </c>
      <c r="G930" s="19" t="s">
        <v>90</v>
      </c>
      <c r="H930" s="22" t="s">
        <v>155</v>
      </c>
      <c r="I930" s="25" t="s">
        <v>2843</v>
      </c>
      <c r="J930" s="19" t="s">
        <v>936</v>
      </c>
      <c r="K930" s="19" t="s">
        <v>92</v>
      </c>
      <c r="L930" s="22"/>
      <c r="M930" s="26"/>
      <c r="N930" s="26"/>
      <c r="O930" s="26"/>
      <c r="P930" s="26"/>
      <c r="Q930" s="26"/>
    </row>
    <row r="931" ht="15.75" customHeight="1">
      <c r="A931" s="31" t="s">
        <v>39</v>
      </c>
      <c r="B931" s="9" t="s">
        <v>2735</v>
      </c>
      <c r="C931" s="19" t="s">
        <v>2844</v>
      </c>
      <c r="D931" s="22" t="s">
        <v>2845</v>
      </c>
      <c r="E931" s="19" t="s">
        <v>109</v>
      </c>
      <c r="F931" s="19" t="s">
        <v>2846</v>
      </c>
      <c r="G931" s="19" t="s">
        <v>90</v>
      </c>
      <c r="H931" s="22" t="s">
        <v>155</v>
      </c>
      <c r="I931" s="25" t="s">
        <v>2847</v>
      </c>
      <c r="J931" s="19"/>
      <c r="K931" s="19" t="s">
        <v>112</v>
      </c>
      <c r="L931" s="22"/>
      <c r="M931" s="26"/>
      <c r="N931" s="26"/>
      <c r="O931" s="26"/>
      <c r="P931" s="26"/>
      <c r="Q931" s="26"/>
    </row>
    <row r="932" ht="15.75" hidden="1" customHeight="1">
      <c r="A932" s="31" t="s">
        <v>39</v>
      </c>
      <c r="B932" s="9" t="s">
        <v>2735</v>
      </c>
      <c r="C932" s="19" t="s">
        <v>84</v>
      </c>
      <c r="D932" s="22" t="s">
        <v>2848</v>
      </c>
      <c r="E932" s="19" t="s">
        <v>129</v>
      </c>
      <c r="F932" s="19" t="s">
        <v>89</v>
      </c>
      <c r="G932" s="19" t="s">
        <v>135</v>
      </c>
      <c r="H932" s="24" t="s">
        <v>59</v>
      </c>
      <c r="I932" s="25" t="s">
        <v>2849</v>
      </c>
      <c r="J932" s="19" t="s">
        <v>95</v>
      </c>
      <c r="K932" s="19" t="s">
        <v>52</v>
      </c>
      <c r="L932" s="22" t="s">
        <v>2850</v>
      </c>
      <c r="M932" s="26"/>
      <c r="N932" s="26"/>
      <c r="O932" s="26"/>
      <c r="P932" s="26"/>
      <c r="Q932" s="26"/>
    </row>
    <row r="933" ht="15.75" customHeight="1">
      <c r="A933" s="31" t="s">
        <v>39</v>
      </c>
      <c r="B933" s="9" t="s">
        <v>2735</v>
      </c>
      <c r="C933" s="19" t="s">
        <v>2851</v>
      </c>
      <c r="D933" s="22" t="s">
        <v>2852</v>
      </c>
      <c r="E933" s="19" t="s">
        <v>109</v>
      </c>
      <c r="F933" s="19" t="s">
        <v>1382</v>
      </c>
      <c r="G933" s="19" t="s">
        <v>90</v>
      </c>
      <c r="H933" s="22" t="s">
        <v>155</v>
      </c>
      <c r="I933" s="25" t="s">
        <v>2853</v>
      </c>
      <c r="J933" s="19"/>
      <c r="K933" s="19" t="s">
        <v>100</v>
      </c>
      <c r="L933" s="22" t="s">
        <v>2854</v>
      </c>
      <c r="M933" s="26"/>
      <c r="N933" s="26"/>
      <c r="O933" s="26"/>
      <c r="P933" s="26"/>
      <c r="Q933" s="26"/>
    </row>
    <row r="934" ht="15.75" customHeight="1">
      <c r="A934" s="31" t="s">
        <v>39</v>
      </c>
      <c r="B934" s="9" t="s">
        <v>2735</v>
      </c>
      <c r="C934" s="19" t="s">
        <v>201</v>
      </c>
      <c r="D934" s="22" t="s">
        <v>2855</v>
      </c>
      <c r="E934" s="19" t="s">
        <v>109</v>
      </c>
      <c r="F934" s="19" t="s">
        <v>2675</v>
      </c>
      <c r="G934" s="19" t="s">
        <v>90</v>
      </c>
      <c r="H934" s="22" t="s">
        <v>155</v>
      </c>
      <c r="I934" s="25" t="s">
        <v>2856</v>
      </c>
      <c r="J934" s="19" t="s">
        <v>319</v>
      </c>
      <c r="K934" s="19" t="s">
        <v>143</v>
      </c>
      <c r="L934" s="22" t="s">
        <v>2761</v>
      </c>
      <c r="M934" s="26"/>
      <c r="N934" s="26"/>
      <c r="O934" s="26"/>
      <c r="P934" s="26"/>
      <c r="Q934" s="26"/>
    </row>
    <row r="935" ht="15.75" customHeight="1">
      <c r="A935" s="31" t="s">
        <v>39</v>
      </c>
      <c r="B935" s="9" t="s">
        <v>2735</v>
      </c>
      <c r="C935" s="19" t="s">
        <v>201</v>
      </c>
      <c r="D935" s="22" t="s">
        <v>2799</v>
      </c>
      <c r="E935" s="19" t="s">
        <v>109</v>
      </c>
      <c r="F935" s="19" t="s">
        <v>2857</v>
      </c>
      <c r="G935" s="19" t="s">
        <v>90</v>
      </c>
      <c r="H935" s="22" t="s">
        <v>155</v>
      </c>
      <c r="I935" s="25" t="s">
        <v>2676</v>
      </c>
      <c r="J935" s="19" t="s">
        <v>95</v>
      </c>
      <c r="K935" s="19" t="s">
        <v>114</v>
      </c>
      <c r="L935" s="22"/>
      <c r="M935" s="26"/>
      <c r="N935" s="26"/>
      <c r="O935" s="26"/>
      <c r="P935" s="26"/>
      <c r="Q935" s="26"/>
    </row>
    <row r="936" ht="15.75" customHeight="1">
      <c r="A936" s="31" t="s">
        <v>39</v>
      </c>
      <c r="B936" s="9" t="s">
        <v>2735</v>
      </c>
      <c r="C936" s="19" t="s">
        <v>1256</v>
      </c>
      <c r="D936" s="22" t="s">
        <v>2858</v>
      </c>
      <c r="E936" s="19" t="s">
        <v>109</v>
      </c>
      <c r="F936" s="19" t="s">
        <v>89</v>
      </c>
      <c r="G936" s="19" t="s">
        <v>90</v>
      </c>
      <c r="H936" s="22" t="s">
        <v>155</v>
      </c>
      <c r="I936" s="25" t="s">
        <v>2859</v>
      </c>
      <c r="J936" s="19" t="s">
        <v>553</v>
      </c>
      <c r="K936" s="19" t="s">
        <v>92</v>
      </c>
      <c r="L936" s="22"/>
      <c r="M936" s="26"/>
      <c r="N936" s="26"/>
      <c r="O936" s="26"/>
      <c r="P936" s="26"/>
      <c r="Q936" s="26"/>
    </row>
    <row r="937" ht="15.75" customHeight="1">
      <c r="A937" s="31" t="s">
        <v>39</v>
      </c>
      <c r="B937" s="9" t="s">
        <v>2735</v>
      </c>
      <c r="C937" s="19" t="s">
        <v>2860</v>
      </c>
      <c r="D937" s="22" t="s">
        <v>2861</v>
      </c>
      <c r="E937" s="19" t="s">
        <v>109</v>
      </c>
      <c r="F937" s="19" t="s">
        <v>2862</v>
      </c>
      <c r="G937" s="19" t="s">
        <v>90</v>
      </c>
      <c r="H937" s="22" t="s">
        <v>155</v>
      </c>
      <c r="I937" s="25" t="s">
        <v>2863</v>
      </c>
      <c r="J937" s="19" t="s">
        <v>140</v>
      </c>
      <c r="K937" s="19" t="s">
        <v>114</v>
      </c>
      <c r="L937" s="22"/>
      <c r="M937" s="26"/>
      <c r="N937" s="26"/>
      <c r="O937" s="26"/>
      <c r="P937" s="26"/>
      <c r="Q937" s="26"/>
    </row>
    <row r="938" ht="15.75" customHeight="1">
      <c r="A938" s="31" t="s">
        <v>39</v>
      </c>
      <c r="B938" s="9" t="s">
        <v>2735</v>
      </c>
      <c r="C938" s="19" t="s">
        <v>2864</v>
      </c>
      <c r="D938" s="22" t="s">
        <v>1350</v>
      </c>
      <c r="E938" s="19" t="s">
        <v>109</v>
      </c>
      <c r="F938" s="19" t="s">
        <v>2201</v>
      </c>
      <c r="G938" s="19" t="s">
        <v>90</v>
      </c>
      <c r="H938" s="22" t="s">
        <v>155</v>
      </c>
      <c r="I938" s="25" t="s">
        <v>2865</v>
      </c>
      <c r="J938" s="19" t="s">
        <v>1572</v>
      </c>
      <c r="K938" s="19" t="s">
        <v>92</v>
      </c>
      <c r="L938" s="22"/>
      <c r="M938" s="26"/>
      <c r="N938" s="26"/>
      <c r="O938" s="26"/>
      <c r="P938" s="26"/>
      <c r="Q938" s="26"/>
    </row>
    <row r="939" ht="15.75" hidden="1" customHeight="1">
      <c r="A939" s="31" t="s">
        <v>39</v>
      </c>
      <c r="B939" s="9" t="s">
        <v>2866</v>
      </c>
      <c r="C939" s="19" t="s">
        <v>2867</v>
      </c>
      <c r="D939" s="22" t="s">
        <v>2868</v>
      </c>
      <c r="E939" s="19" t="s">
        <v>109</v>
      </c>
      <c r="F939" s="19" t="s">
        <v>2869</v>
      </c>
      <c r="G939" s="19" t="s">
        <v>135</v>
      </c>
      <c r="H939" s="24" t="s">
        <v>59</v>
      </c>
      <c r="I939" s="25" t="s">
        <v>2870</v>
      </c>
      <c r="J939" s="19" t="s">
        <v>273</v>
      </c>
      <c r="K939" s="19" t="s">
        <v>94</v>
      </c>
      <c r="L939" s="22"/>
      <c r="M939" s="26"/>
      <c r="N939" s="26"/>
      <c r="O939" s="26"/>
      <c r="P939" s="26"/>
      <c r="Q939" s="26"/>
    </row>
    <row r="940" ht="15.75" hidden="1" customHeight="1">
      <c r="A940" s="31" t="s">
        <v>39</v>
      </c>
      <c r="B940" s="9" t="s">
        <v>2866</v>
      </c>
      <c r="C940" s="19" t="s">
        <v>2871</v>
      </c>
      <c r="D940" s="22" t="s">
        <v>2872</v>
      </c>
      <c r="E940" s="19" t="s">
        <v>119</v>
      </c>
      <c r="F940" s="19" t="s">
        <v>335</v>
      </c>
      <c r="G940" s="19" t="s">
        <v>142</v>
      </c>
      <c r="H940" s="24" t="s">
        <v>59</v>
      </c>
      <c r="I940" s="25" t="s">
        <v>2873</v>
      </c>
      <c r="J940" s="19" t="s">
        <v>2874</v>
      </c>
      <c r="K940" s="19" t="s">
        <v>40</v>
      </c>
      <c r="L940" s="22" t="s">
        <v>2875</v>
      </c>
      <c r="M940" s="26"/>
      <c r="N940" s="26"/>
      <c r="O940" s="26"/>
      <c r="P940" s="26"/>
      <c r="Q940" s="26"/>
    </row>
    <row r="941" ht="15.75" customHeight="1">
      <c r="A941" s="31" t="s">
        <v>39</v>
      </c>
      <c r="B941" s="9" t="s">
        <v>2866</v>
      </c>
      <c r="C941" s="19" t="s">
        <v>2113</v>
      </c>
      <c r="D941" s="22" t="s">
        <v>2876</v>
      </c>
      <c r="E941" s="19" t="s">
        <v>119</v>
      </c>
      <c r="F941" s="19" t="s">
        <v>335</v>
      </c>
      <c r="G941" s="19" t="s">
        <v>90</v>
      </c>
      <c r="H941" s="22" t="s">
        <v>365</v>
      </c>
      <c r="I941" s="25" t="s">
        <v>2877</v>
      </c>
      <c r="J941" s="19" t="s">
        <v>663</v>
      </c>
      <c r="K941" s="19" t="s">
        <v>66</v>
      </c>
      <c r="L941" s="22"/>
      <c r="M941" s="26"/>
      <c r="N941" s="26"/>
      <c r="O941" s="26"/>
      <c r="P941" s="26"/>
      <c r="Q941" s="26"/>
    </row>
    <row r="942" ht="15.75" customHeight="1">
      <c r="A942" s="31" t="s">
        <v>39</v>
      </c>
      <c r="B942" s="9" t="s">
        <v>2866</v>
      </c>
      <c r="C942" s="19" t="s">
        <v>2414</v>
      </c>
      <c r="D942" s="22" t="s">
        <v>818</v>
      </c>
      <c r="E942" s="19" t="s">
        <v>119</v>
      </c>
      <c r="F942" s="19" t="s">
        <v>335</v>
      </c>
      <c r="G942" s="19" t="s">
        <v>90</v>
      </c>
      <c r="H942" s="22" t="s">
        <v>365</v>
      </c>
      <c r="I942" s="25" t="s">
        <v>2878</v>
      </c>
      <c r="J942" s="19"/>
      <c r="K942" s="19" t="s">
        <v>125</v>
      </c>
      <c r="L942" s="22"/>
      <c r="M942" s="26"/>
      <c r="N942" s="26"/>
      <c r="O942" s="26"/>
      <c r="P942" s="26"/>
      <c r="Q942" s="26"/>
    </row>
    <row r="943" ht="15.75" customHeight="1">
      <c r="A943" s="31" t="s">
        <v>39</v>
      </c>
      <c r="B943" s="9" t="s">
        <v>2866</v>
      </c>
      <c r="C943" s="19" t="s">
        <v>2166</v>
      </c>
      <c r="D943" s="22" t="s">
        <v>2879</v>
      </c>
      <c r="E943" s="19" t="s">
        <v>119</v>
      </c>
      <c r="F943" s="19" t="s">
        <v>335</v>
      </c>
      <c r="G943" s="19" t="s">
        <v>90</v>
      </c>
      <c r="H943" s="22" t="s">
        <v>365</v>
      </c>
      <c r="I943" s="25" t="s">
        <v>2880</v>
      </c>
      <c r="J943" s="19"/>
      <c r="K943" s="19" t="s">
        <v>224</v>
      </c>
      <c r="L943" s="22" t="s">
        <v>2881</v>
      </c>
      <c r="M943" s="26"/>
      <c r="N943" s="26"/>
      <c r="O943" s="26"/>
      <c r="P943" s="26"/>
      <c r="Q943" s="26"/>
    </row>
    <row r="944" ht="15.75" customHeight="1">
      <c r="A944" s="31" t="s">
        <v>39</v>
      </c>
      <c r="B944" s="9" t="s">
        <v>2866</v>
      </c>
      <c r="C944" s="19" t="s">
        <v>2166</v>
      </c>
      <c r="D944" s="22" t="s">
        <v>2882</v>
      </c>
      <c r="E944" s="19" t="s">
        <v>119</v>
      </c>
      <c r="F944" s="19" t="s">
        <v>335</v>
      </c>
      <c r="G944" s="19" t="s">
        <v>90</v>
      </c>
      <c r="H944" s="22" t="s">
        <v>365</v>
      </c>
      <c r="I944" s="25" t="s">
        <v>2883</v>
      </c>
      <c r="J944" s="19" t="s">
        <v>337</v>
      </c>
      <c r="K944" s="19" t="s">
        <v>207</v>
      </c>
      <c r="L944" s="22" t="s">
        <v>2884</v>
      </c>
      <c r="M944" s="26"/>
      <c r="N944" s="26"/>
      <c r="O944" s="26"/>
      <c r="P944" s="26"/>
      <c r="Q944" s="26"/>
    </row>
    <row r="945" ht="15.75" customHeight="1">
      <c r="A945" s="31" t="s">
        <v>39</v>
      </c>
      <c r="B945" s="9" t="s">
        <v>2866</v>
      </c>
      <c r="C945" s="19" t="s">
        <v>2885</v>
      </c>
      <c r="D945" s="22" t="s">
        <v>2886</v>
      </c>
      <c r="E945" s="19" t="s">
        <v>119</v>
      </c>
      <c r="F945" s="19" t="s">
        <v>2887</v>
      </c>
      <c r="G945" s="19" t="s">
        <v>90</v>
      </c>
      <c r="H945" s="22" t="s">
        <v>365</v>
      </c>
      <c r="I945" s="25" t="s">
        <v>2888</v>
      </c>
      <c r="J945" s="19" t="s">
        <v>1217</v>
      </c>
      <c r="K945" s="19" t="s">
        <v>66</v>
      </c>
      <c r="L945" s="22"/>
      <c r="M945" s="26"/>
      <c r="N945" s="26"/>
      <c r="O945" s="26"/>
      <c r="P945" s="26"/>
      <c r="Q945" s="26"/>
    </row>
    <row r="946" ht="15.75" customHeight="1">
      <c r="A946" s="31" t="s">
        <v>39</v>
      </c>
      <c r="B946" s="9" t="s">
        <v>2866</v>
      </c>
      <c r="C946" s="19" t="s">
        <v>2885</v>
      </c>
      <c r="D946" s="22" t="s">
        <v>2889</v>
      </c>
      <c r="E946" s="19" t="s">
        <v>119</v>
      </c>
      <c r="F946" s="19" t="s">
        <v>2890</v>
      </c>
      <c r="G946" s="19" t="s">
        <v>90</v>
      </c>
      <c r="H946" s="22" t="s">
        <v>365</v>
      </c>
      <c r="I946" s="25" t="s">
        <v>2888</v>
      </c>
      <c r="J946" s="19" t="s">
        <v>2891</v>
      </c>
      <c r="K946" s="19" t="s">
        <v>66</v>
      </c>
      <c r="L946" s="22"/>
      <c r="M946" s="26"/>
      <c r="N946" s="26"/>
      <c r="O946" s="26"/>
      <c r="P946" s="26"/>
      <c r="Q946" s="26"/>
    </row>
    <row r="947" ht="15.75" customHeight="1">
      <c r="A947" s="31" t="s">
        <v>39</v>
      </c>
      <c r="B947" s="9" t="s">
        <v>2866</v>
      </c>
      <c r="C947" s="19" t="s">
        <v>2892</v>
      </c>
      <c r="D947" s="22" t="s">
        <v>2893</v>
      </c>
      <c r="E947" s="19" t="s">
        <v>119</v>
      </c>
      <c r="F947" s="19" t="s">
        <v>2887</v>
      </c>
      <c r="G947" s="19" t="s">
        <v>90</v>
      </c>
      <c r="H947" s="22" t="s">
        <v>365</v>
      </c>
      <c r="I947" s="25" t="s">
        <v>2894</v>
      </c>
      <c r="J947" s="19" t="s">
        <v>1217</v>
      </c>
      <c r="K947" s="19" t="s">
        <v>66</v>
      </c>
      <c r="L947" s="22"/>
      <c r="M947" s="26"/>
      <c r="N947" s="26"/>
      <c r="O947" s="26"/>
      <c r="P947" s="26"/>
      <c r="Q947" s="26"/>
    </row>
    <row r="948" ht="15.75" customHeight="1">
      <c r="A948" s="31" t="s">
        <v>39</v>
      </c>
      <c r="B948" s="9" t="s">
        <v>2866</v>
      </c>
      <c r="C948" s="19" t="s">
        <v>2892</v>
      </c>
      <c r="D948" s="22" t="s">
        <v>2895</v>
      </c>
      <c r="E948" s="19" t="s">
        <v>119</v>
      </c>
      <c r="F948" s="19" t="s">
        <v>2890</v>
      </c>
      <c r="G948" s="19" t="s">
        <v>90</v>
      </c>
      <c r="H948" s="22" t="s">
        <v>365</v>
      </c>
      <c r="I948" s="25" t="s">
        <v>2894</v>
      </c>
      <c r="J948" s="19" t="s">
        <v>2891</v>
      </c>
      <c r="K948" s="19" t="s">
        <v>66</v>
      </c>
      <c r="L948" s="22"/>
      <c r="M948" s="26"/>
      <c r="N948" s="26"/>
      <c r="O948" s="26"/>
      <c r="P948" s="26"/>
      <c r="Q948" s="26"/>
    </row>
    <row r="949" ht="15.75" customHeight="1">
      <c r="A949" s="31" t="s">
        <v>39</v>
      </c>
      <c r="B949" s="9" t="s">
        <v>2866</v>
      </c>
      <c r="C949" s="19" t="s">
        <v>197</v>
      </c>
      <c r="D949" s="22" t="s">
        <v>2896</v>
      </c>
      <c r="E949" s="19" t="s">
        <v>109</v>
      </c>
      <c r="F949" s="19" t="s">
        <v>295</v>
      </c>
      <c r="G949" s="19" t="s">
        <v>90</v>
      </c>
      <c r="H949" s="22" t="s">
        <v>365</v>
      </c>
      <c r="I949" s="25" t="s">
        <v>2897</v>
      </c>
      <c r="J949" s="19" t="s">
        <v>319</v>
      </c>
      <c r="K949" s="19" t="s">
        <v>82</v>
      </c>
      <c r="L949" s="22" t="s">
        <v>2185</v>
      </c>
      <c r="M949" s="26"/>
      <c r="N949" s="26"/>
      <c r="O949" s="26"/>
      <c r="P949" s="26"/>
      <c r="Q949" s="26"/>
    </row>
    <row r="950" ht="15.75" customHeight="1">
      <c r="A950" s="31" t="s">
        <v>39</v>
      </c>
      <c r="B950" s="9" t="s">
        <v>2866</v>
      </c>
      <c r="C950" s="19" t="s">
        <v>197</v>
      </c>
      <c r="D950" s="22" t="s">
        <v>1209</v>
      </c>
      <c r="E950" s="19" t="s">
        <v>109</v>
      </c>
      <c r="F950" s="19" t="s">
        <v>2898</v>
      </c>
      <c r="G950" s="19" t="s">
        <v>90</v>
      </c>
      <c r="H950" s="22" t="s">
        <v>365</v>
      </c>
      <c r="I950" s="25" t="s">
        <v>2899</v>
      </c>
      <c r="J950" s="19" t="s">
        <v>95</v>
      </c>
      <c r="K950" s="19" t="s">
        <v>66</v>
      </c>
      <c r="L950" s="22" t="s">
        <v>2900</v>
      </c>
      <c r="M950" s="26"/>
      <c r="N950" s="26"/>
      <c r="O950" s="26"/>
      <c r="P950" s="26"/>
      <c r="Q950" s="26"/>
    </row>
    <row r="951" ht="15.75" customHeight="1">
      <c r="A951" s="31" t="s">
        <v>39</v>
      </c>
      <c r="B951" s="9" t="s">
        <v>2866</v>
      </c>
      <c r="C951" s="19" t="s">
        <v>1287</v>
      </c>
      <c r="D951" s="22" t="s">
        <v>1765</v>
      </c>
      <c r="E951" s="19" t="s">
        <v>119</v>
      </c>
      <c r="F951" s="19" t="s">
        <v>335</v>
      </c>
      <c r="G951" s="19" t="s">
        <v>90</v>
      </c>
      <c r="H951" s="22" t="s">
        <v>365</v>
      </c>
      <c r="I951" s="25" t="s">
        <v>2901</v>
      </c>
      <c r="J951" s="19"/>
      <c r="K951" s="19" t="s">
        <v>125</v>
      </c>
      <c r="L951" s="22"/>
      <c r="M951" s="26"/>
      <c r="N951" s="26"/>
      <c r="O951" s="26"/>
      <c r="P951" s="26"/>
      <c r="Q951" s="26"/>
    </row>
    <row r="952" ht="15.75" hidden="1" customHeight="1">
      <c r="A952" s="31" t="s">
        <v>39</v>
      </c>
      <c r="B952" s="9" t="s">
        <v>2866</v>
      </c>
      <c r="C952" s="19" t="s">
        <v>2902</v>
      </c>
      <c r="D952" s="22" t="s">
        <v>2903</v>
      </c>
      <c r="E952" s="19" t="s">
        <v>109</v>
      </c>
      <c r="F952" s="19" t="s">
        <v>295</v>
      </c>
      <c r="G952" s="19" t="s">
        <v>135</v>
      </c>
      <c r="H952" s="24" t="s">
        <v>59</v>
      </c>
      <c r="I952" s="25" t="s">
        <v>2904</v>
      </c>
      <c r="J952" s="19"/>
      <c r="K952" s="19" t="s">
        <v>74</v>
      </c>
      <c r="L952" s="22" t="s">
        <v>723</v>
      </c>
      <c r="M952" s="26"/>
      <c r="N952" s="26"/>
      <c r="O952" s="26"/>
      <c r="P952" s="26"/>
      <c r="Q952" s="26"/>
    </row>
    <row r="953" ht="15.75" hidden="1" customHeight="1">
      <c r="A953" s="31" t="s">
        <v>39</v>
      </c>
      <c r="B953" s="9" t="s">
        <v>2905</v>
      </c>
      <c r="C953" s="19" t="s">
        <v>2906</v>
      </c>
      <c r="D953" s="22" t="s">
        <v>2907</v>
      </c>
      <c r="E953" s="19" t="s">
        <v>116</v>
      </c>
      <c r="F953" s="19" t="s">
        <v>2908</v>
      </c>
      <c r="G953" s="19" t="s">
        <v>142</v>
      </c>
      <c r="H953" s="22" t="s">
        <v>365</v>
      </c>
      <c r="I953" s="25" t="s">
        <v>2909</v>
      </c>
      <c r="J953" s="19" t="s">
        <v>456</v>
      </c>
      <c r="K953" s="19" t="s">
        <v>122</v>
      </c>
      <c r="L953" s="22" t="s">
        <v>2910</v>
      </c>
      <c r="M953" s="26"/>
      <c r="N953" s="26"/>
      <c r="O953" s="26"/>
      <c r="P953" s="26"/>
      <c r="Q953" s="26"/>
    </row>
    <row r="954" ht="15.75" hidden="1" customHeight="1">
      <c r="A954" s="31" t="s">
        <v>39</v>
      </c>
      <c r="B954" s="9" t="s">
        <v>2905</v>
      </c>
      <c r="C954" s="19" t="s">
        <v>2911</v>
      </c>
      <c r="D954" s="22" t="s">
        <v>2912</v>
      </c>
      <c r="E954" s="19" t="s">
        <v>124</v>
      </c>
      <c r="F954" s="19" t="s">
        <v>295</v>
      </c>
      <c r="G954" s="19" t="s">
        <v>57</v>
      </c>
      <c r="H954" s="22" t="s">
        <v>365</v>
      </c>
      <c r="I954" s="25" t="s">
        <v>2913</v>
      </c>
      <c r="J954" s="19" t="s">
        <v>1445</v>
      </c>
      <c r="K954" s="19" t="s">
        <v>52</v>
      </c>
      <c r="L954" s="22" t="s">
        <v>2914</v>
      </c>
      <c r="M954" s="26"/>
      <c r="N954" s="26"/>
      <c r="O954" s="26"/>
      <c r="P954" s="26"/>
      <c r="Q954" s="26"/>
    </row>
    <row r="955" ht="15.75" hidden="1" customHeight="1">
      <c r="A955" s="31" t="s">
        <v>39</v>
      </c>
      <c r="B955" s="9" t="s">
        <v>2905</v>
      </c>
      <c r="C955" s="19" t="s">
        <v>2915</v>
      </c>
      <c r="D955" s="22" t="s">
        <v>2912</v>
      </c>
      <c r="E955" s="19" t="s">
        <v>124</v>
      </c>
      <c r="F955" s="19" t="s">
        <v>295</v>
      </c>
      <c r="G955" s="19" t="s">
        <v>57</v>
      </c>
      <c r="H955" s="22" t="s">
        <v>365</v>
      </c>
      <c r="I955" s="25" t="s">
        <v>2916</v>
      </c>
      <c r="J955" s="19" t="s">
        <v>1445</v>
      </c>
      <c r="K955" s="19" t="s">
        <v>52</v>
      </c>
      <c r="L955" s="22" t="s">
        <v>471</v>
      </c>
      <c r="M955" s="26"/>
      <c r="N955" s="26"/>
      <c r="O955" s="26"/>
      <c r="P955" s="26"/>
      <c r="Q955" s="26"/>
    </row>
    <row r="956" ht="15.75" hidden="1" customHeight="1">
      <c r="A956" s="31" t="s">
        <v>39</v>
      </c>
      <c r="B956" s="9" t="s">
        <v>2905</v>
      </c>
      <c r="C956" s="19" t="s">
        <v>2917</v>
      </c>
      <c r="D956" s="22" t="s">
        <v>2918</v>
      </c>
      <c r="E956" s="19" t="s">
        <v>109</v>
      </c>
      <c r="F956" s="19" t="s">
        <v>2919</v>
      </c>
      <c r="G956" s="19" t="s">
        <v>135</v>
      </c>
      <c r="H956" s="22" t="s">
        <v>365</v>
      </c>
      <c r="I956" s="25" t="s">
        <v>2920</v>
      </c>
      <c r="J956" s="19"/>
      <c r="K956" s="19" t="s">
        <v>171</v>
      </c>
      <c r="L956" s="22"/>
      <c r="M956" s="26"/>
      <c r="N956" s="26"/>
      <c r="O956" s="26"/>
      <c r="P956" s="26"/>
      <c r="Q956" s="26"/>
    </row>
    <row r="957" ht="15.75" hidden="1" customHeight="1">
      <c r="A957" s="31" t="s">
        <v>39</v>
      </c>
      <c r="B957" s="9" t="s">
        <v>2905</v>
      </c>
      <c r="C957" s="19" t="s">
        <v>2921</v>
      </c>
      <c r="D957" s="22" t="s">
        <v>2922</v>
      </c>
      <c r="E957" s="19" t="s">
        <v>116</v>
      </c>
      <c r="F957" s="19" t="s">
        <v>494</v>
      </c>
      <c r="G957" s="19" t="s">
        <v>135</v>
      </c>
      <c r="H957" s="22" t="s">
        <v>365</v>
      </c>
      <c r="I957" s="25" t="s">
        <v>2923</v>
      </c>
      <c r="J957" s="19"/>
      <c r="K957" s="19" t="s">
        <v>122</v>
      </c>
      <c r="L957" s="22" t="s">
        <v>2619</v>
      </c>
      <c r="M957" s="26"/>
      <c r="N957" s="26"/>
      <c r="O957" s="26"/>
      <c r="P957" s="26"/>
      <c r="Q957" s="26"/>
    </row>
    <row r="958" ht="15.75" hidden="1" customHeight="1">
      <c r="A958" s="31" t="s">
        <v>39</v>
      </c>
      <c r="B958" s="9" t="s">
        <v>2905</v>
      </c>
      <c r="C958" s="19" t="s">
        <v>2924</v>
      </c>
      <c r="D958" s="22" t="s">
        <v>702</v>
      </c>
      <c r="E958" s="19" t="s">
        <v>124</v>
      </c>
      <c r="F958" s="19" t="s">
        <v>295</v>
      </c>
      <c r="G958" s="19" t="s">
        <v>57</v>
      </c>
      <c r="H958" s="22" t="s">
        <v>365</v>
      </c>
      <c r="I958" s="25" t="s">
        <v>2925</v>
      </c>
      <c r="J958" s="19" t="s">
        <v>1445</v>
      </c>
      <c r="K958" s="19" t="s">
        <v>52</v>
      </c>
      <c r="L958" s="22" t="s">
        <v>2914</v>
      </c>
      <c r="M958" s="26"/>
      <c r="N958" s="26"/>
      <c r="O958" s="26"/>
      <c r="P958" s="26"/>
      <c r="Q958" s="26"/>
    </row>
    <row r="959" ht="15.75" hidden="1" customHeight="1">
      <c r="A959" s="31" t="s">
        <v>39</v>
      </c>
      <c r="B959" s="9" t="s">
        <v>2905</v>
      </c>
      <c r="C959" s="19" t="s">
        <v>2926</v>
      </c>
      <c r="D959" s="22" t="s">
        <v>2927</v>
      </c>
      <c r="E959" s="19" t="s">
        <v>116</v>
      </c>
      <c r="F959" s="19" t="s">
        <v>508</v>
      </c>
      <c r="G959" s="19" t="s">
        <v>135</v>
      </c>
      <c r="H959" s="22" t="s">
        <v>365</v>
      </c>
      <c r="I959" s="25" t="s">
        <v>2928</v>
      </c>
      <c r="J959" s="19" t="s">
        <v>140</v>
      </c>
      <c r="K959" s="19" t="s">
        <v>13</v>
      </c>
      <c r="L959" s="22"/>
      <c r="M959" s="26"/>
      <c r="N959" s="26"/>
      <c r="O959" s="26"/>
      <c r="P959" s="26"/>
      <c r="Q959" s="26"/>
    </row>
    <row r="960" ht="15.75" hidden="1" customHeight="1">
      <c r="A960" s="31" t="s">
        <v>39</v>
      </c>
      <c r="B960" s="9" t="s">
        <v>2905</v>
      </c>
      <c r="C960" s="19" t="s">
        <v>2926</v>
      </c>
      <c r="D960" s="22" t="s">
        <v>2929</v>
      </c>
      <c r="E960" s="19" t="s">
        <v>116</v>
      </c>
      <c r="F960" s="19" t="s">
        <v>508</v>
      </c>
      <c r="G960" s="19" t="s">
        <v>135</v>
      </c>
      <c r="H960" s="22" t="s">
        <v>365</v>
      </c>
      <c r="I960" s="25" t="s">
        <v>2930</v>
      </c>
      <c r="J960" s="19" t="s">
        <v>140</v>
      </c>
      <c r="K960" s="19" t="s">
        <v>13</v>
      </c>
      <c r="L960" s="22"/>
      <c r="M960" s="26"/>
      <c r="N960" s="26"/>
      <c r="O960" s="26"/>
      <c r="P960" s="26"/>
      <c r="Q960" s="26"/>
    </row>
    <row r="961" ht="15.75" hidden="1" customHeight="1">
      <c r="A961" s="31" t="s">
        <v>39</v>
      </c>
      <c r="B961" s="9" t="s">
        <v>2905</v>
      </c>
      <c r="C961" s="19" t="s">
        <v>197</v>
      </c>
      <c r="D961" s="22" t="s">
        <v>2931</v>
      </c>
      <c r="E961" s="19" t="s">
        <v>116</v>
      </c>
      <c r="F961" s="19" t="s">
        <v>2932</v>
      </c>
      <c r="G961" s="19" t="s">
        <v>135</v>
      </c>
      <c r="H961" s="22" t="s">
        <v>365</v>
      </c>
      <c r="I961" s="25" t="s">
        <v>2933</v>
      </c>
      <c r="J961" s="19" t="s">
        <v>456</v>
      </c>
      <c r="K961" s="19" t="s">
        <v>82</v>
      </c>
      <c r="L961" s="22" t="s">
        <v>2934</v>
      </c>
      <c r="M961" s="26"/>
      <c r="N961" s="26"/>
      <c r="O961" s="26"/>
      <c r="P961" s="26"/>
      <c r="Q961" s="26"/>
    </row>
    <row r="962" ht="15.75" hidden="1" customHeight="1">
      <c r="A962" s="31" t="s">
        <v>39</v>
      </c>
      <c r="B962" s="9" t="s">
        <v>2905</v>
      </c>
      <c r="C962" s="19" t="s">
        <v>2935</v>
      </c>
      <c r="D962" s="22" t="s">
        <v>2936</v>
      </c>
      <c r="E962" s="19" t="s">
        <v>116</v>
      </c>
      <c r="F962" s="19" t="s">
        <v>2937</v>
      </c>
      <c r="G962" s="19" t="s">
        <v>142</v>
      </c>
      <c r="H962" s="22" t="s">
        <v>365</v>
      </c>
      <c r="I962" s="25" t="s">
        <v>2938</v>
      </c>
      <c r="J962" s="19" t="s">
        <v>811</v>
      </c>
      <c r="K962" s="19" t="s">
        <v>82</v>
      </c>
      <c r="L962" s="22" t="s">
        <v>2939</v>
      </c>
      <c r="M962" s="26"/>
      <c r="N962" s="26"/>
      <c r="O962" s="26"/>
      <c r="P962" s="26"/>
      <c r="Q962" s="26"/>
    </row>
    <row r="963" ht="15.75" hidden="1" customHeight="1">
      <c r="A963" s="31" t="s">
        <v>39</v>
      </c>
      <c r="B963" s="9" t="s">
        <v>2905</v>
      </c>
      <c r="C963" s="19" t="s">
        <v>2940</v>
      </c>
      <c r="D963" s="22" t="s">
        <v>2941</v>
      </c>
      <c r="E963" s="19" t="s">
        <v>116</v>
      </c>
      <c r="F963" s="19" t="s">
        <v>2942</v>
      </c>
      <c r="G963" s="19" t="s">
        <v>135</v>
      </c>
      <c r="H963" s="22" t="s">
        <v>365</v>
      </c>
      <c r="I963" s="25" t="s">
        <v>2943</v>
      </c>
      <c r="J963" s="19"/>
      <c r="K963" s="19" t="s">
        <v>40</v>
      </c>
      <c r="L963" s="22"/>
      <c r="M963" s="26"/>
      <c r="N963" s="26"/>
      <c r="O963" s="26"/>
      <c r="P963" s="26"/>
      <c r="Q963" s="26"/>
    </row>
    <row r="964" ht="15.75" hidden="1" customHeight="1">
      <c r="A964" s="31" t="s">
        <v>39</v>
      </c>
      <c r="B964" s="9" t="s">
        <v>2905</v>
      </c>
      <c r="C964" s="19" t="s">
        <v>2944</v>
      </c>
      <c r="D964" s="22" t="s">
        <v>2945</v>
      </c>
      <c r="E964" s="19" t="s">
        <v>116</v>
      </c>
      <c r="F964" s="19" t="s">
        <v>2946</v>
      </c>
      <c r="G964" s="19" t="s">
        <v>135</v>
      </c>
      <c r="H964" s="22" t="s">
        <v>365</v>
      </c>
      <c r="I964" s="25" t="s">
        <v>2947</v>
      </c>
      <c r="J964" s="19" t="s">
        <v>319</v>
      </c>
      <c r="K964" s="19" t="s">
        <v>52</v>
      </c>
      <c r="L964" s="22"/>
      <c r="M964" s="26"/>
      <c r="N964" s="26"/>
      <c r="O964" s="26"/>
      <c r="P964" s="26"/>
      <c r="Q964" s="26"/>
    </row>
    <row r="965" ht="15.75" hidden="1" customHeight="1">
      <c r="A965" s="31" t="s">
        <v>39</v>
      </c>
      <c r="B965" s="9" t="s">
        <v>2905</v>
      </c>
      <c r="C965" s="19" t="s">
        <v>2948</v>
      </c>
      <c r="D965" s="22" t="s">
        <v>675</v>
      </c>
      <c r="E965" s="19" t="s">
        <v>116</v>
      </c>
      <c r="F965" s="19" t="s">
        <v>631</v>
      </c>
      <c r="G965" s="19" t="s">
        <v>135</v>
      </c>
      <c r="H965" s="22" t="s">
        <v>365</v>
      </c>
      <c r="I965" s="25" t="s">
        <v>2949</v>
      </c>
      <c r="J965" s="19"/>
      <c r="K965" s="19" t="s">
        <v>40</v>
      </c>
      <c r="L965" s="22"/>
      <c r="M965" s="26"/>
      <c r="N965" s="26"/>
      <c r="O965" s="26"/>
      <c r="P965" s="26"/>
      <c r="Q965" s="26"/>
    </row>
    <row r="966" ht="15.75" hidden="1" customHeight="1">
      <c r="A966" s="31" t="s">
        <v>39</v>
      </c>
      <c r="B966" s="9" t="s">
        <v>2950</v>
      </c>
      <c r="C966" s="19" t="s">
        <v>2951</v>
      </c>
      <c r="D966" s="22" t="s">
        <v>2952</v>
      </c>
      <c r="E966" s="19" t="s">
        <v>124</v>
      </c>
      <c r="F966" s="19" t="s">
        <v>335</v>
      </c>
      <c r="G966" s="19" t="s">
        <v>135</v>
      </c>
      <c r="H966" s="22" t="s">
        <v>365</v>
      </c>
      <c r="I966" s="25" t="s">
        <v>2953</v>
      </c>
      <c r="J966" s="19" t="s">
        <v>1435</v>
      </c>
      <c r="K966" s="19" t="s">
        <v>82</v>
      </c>
      <c r="L966" s="22" t="s">
        <v>471</v>
      </c>
      <c r="M966" s="26"/>
      <c r="N966" s="26"/>
      <c r="O966" s="26"/>
      <c r="P966" s="26"/>
      <c r="Q966" s="26"/>
    </row>
    <row r="967" ht="15.75" hidden="1" customHeight="1">
      <c r="A967" s="31" t="s">
        <v>39</v>
      </c>
      <c r="B967" s="9" t="s">
        <v>2950</v>
      </c>
      <c r="C967" s="19" t="s">
        <v>849</v>
      </c>
      <c r="D967" s="22" t="s">
        <v>2954</v>
      </c>
      <c r="E967" s="19" t="s">
        <v>116</v>
      </c>
      <c r="F967" s="19" t="s">
        <v>2955</v>
      </c>
      <c r="G967" s="19" t="s">
        <v>57</v>
      </c>
      <c r="H967" s="32" t="s">
        <v>2956</v>
      </c>
      <c r="I967" s="25" t="s">
        <v>2957</v>
      </c>
      <c r="J967" s="19"/>
      <c r="K967" s="19" t="s">
        <v>204</v>
      </c>
      <c r="L967" s="22" t="s">
        <v>2958</v>
      </c>
      <c r="M967" s="26"/>
      <c r="N967" s="26"/>
      <c r="O967" s="26"/>
      <c r="P967" s="26"/>
      <c r="Q967" s="26"/>
    </row>
    <row r="968" ht="15.75" hidden="1" customHeight="1">
      <c r="A968" s="31" t="s">
        <v>39</v>
      </c>
      <c r="B968" s="9" t="s">
        <v>2950</v>
      </c>
      <c r="C968" s="19" t="s">
        <v>2959</v>
      </c>
      <c r="D968" s="22" t="s">
        <v>2960</v>
      </c>
      <c r="E968" s="19" t="s">
        <v>115</v>
      </c>
      <c r="F968" s="19" t="s">
        <v>241</v>
      </c>
      <c r="G968" s="19" t="s">
        <v>57</v>
      </c>
      <c r="H968" s="22" t="s">
        <v>365</v>
      </c>
      <c r="I968" s="25" t="s">
        <v>2961</v>
      </c>
      <c r="J968" s="19" t="s">
        <v>982</v>
      </c>
      <c r="K968" s="19" t="s">
        <v>66</v>
      </c>
      <c r="L968" s="22"/>
      <c r="M968" s="26"/>
      <c r="N968" s="26"/>
      <c r="O968" s="26"/>
      <c r="P968" s="26"/>
      <c r="Q968" s="26"/>
    </row>
    <row r="969" ht="15.75" hidden="1" customHeight="1">
      <c r="A969" s="31" t="s">
        <v>39</v>
      </c>
      <c r="B969" s="9" t="s">
        <v>2950</v>
      </c>
      <c r="C969" s="19" t="s">
        <v>637</v>
      </c>
      <c r="D969" s="22" t="s">
        <v>2962</v>
      </c>
      <c r="E969" s="19" t="s">
        <v>121</v>
      </c>
      <c r="F969" s="19" t="s">
        <v>364</v>
      </c>
      <c r="G969" s="19" t="s">
        <v>57</v>
      </c>
      <c r="H969" s="22" t="s">
        <v>365</v>
      </c>
      <c r="I969" s="25" t="s">
        <v>2963</v>
      </c>
      <c r="J969" s="19"/>
      <c r="K969" s="19" t="s">
        <v>221</v>
      </c>
      <c r="L969" s="22"/>
      <c r="M969" s="26"/>
      <c r="N969" s="26"/>
      <c r="O969" s="26"/>
      <c r="P969" s="26"/>
      <c r="Q969" s="26"/>
    </row>
    <row r="970" ht="15.75" customHeight="1">
      <c r="A970" s="31" t="s">
        <v>39</v>
      </c>
      <c r="B970" s="9" t="s">
        <v>2964</v>
      </c>
      <c r="C970" s="19" t="s">
        <v>1048</v>
      </c>
      <c r="D970" s="22" t="s">
        <v>2965</v>
      </c>
      <c r="E970" s="19" t="s">
        <v>121</v>
      </c>
      <c r="F970" s="19" t="s">
        <v>868</v>
      </c>
      <c r="G970" s="19" t="s">
        <v>90</v>
      </c>
      <c r="H970" s="24" t="s">
        <v>59</v>
      </c>
      <c r="I970" s="25" t="s">
        <v>2966</v>
      </c>
      <c r="J970" s="19"/>
      <c r="K970" s="19" t="s">
        <v>125</v>
      </c>
      <c r="L970" s="22"/>
      <c r="M970" s="26"/>
      <c r="N970" s="26"/>
      <c r="O970" s="26"/>
      <c r="P970" s="26"/>
      <c r="Q970" s="26"/>
    </row>
    <row r="971" ht="15.75" customHeight="1">
      <c r="A971" s="31" t="s">
        <v>39</v>
      </c>
      <c r="B971" s="9" t="s">
        <v>2964</v>
      </c>
      <c r="C971" s="19" t="s">
        <v>2739</v>
      </c>
      <c r="D971" s="22" t="s">
        <v>2967</v>
      </c>
      <c r="E971" s="19" t="s">
        <v>109</v>
      </c>
      <c r="F971" s="19" t="s">
        <v>2028</v>
      </c>
      <c r="G971" s="19" t="s">
        <v>90</v>
      </c>
      <c r="H971" s="22" t="s">
        <v>365</v>
      </c>
      <c r="I971" s="25" t="s">
        <v>2968</v>
      </c>
      <c r="J971" s="19"/>
      <c r="K971" s="19" t="s">
        <v>137</v>
      </c>
      <c r="L971" s="22" t="s">
        <v>2969</v>
      </c>
      <c r="M971" s="26"/>
      <c r="N971" s="26"/>
      <c r="O971" s="26"/>
      <c r="P971" s="26"/>
      <c r="Q971" s="26"/>
    </row>
    <row r="972" ht="15.75" customHeight="1">
      <c r="A972" s="31" t="s">
        <v>39</v>
      </c>
      <c r="B972" s="9" t="s">
        <v>2964</v>
      </c>
      <c r="C972" s="19" t="s">
        <v>2754</v>
      </c>
      <c r="D972" s="22" t="s">
        <v>831</v>
      </c>
      <c r="E972" s="19" t="s">
        <v>119</v>
      </c>
      <c r="F972" s="19" t="s">
        <v>868</v>
      </c>
      <c r="G972" s="19" t="s">
        <v>90</v>
      </c>
      <c r="H972" s="22" t="s">
        <v>155</v>
      </c>
      <c r="I972" s="25" t="s">
        <v>2755</v>
      </c>
      <c r="J972" s="19"/>
      <c r="K972" s="19" t="s">
        <v>112</v>
      </c>
      <c r="L972" s="22"/>
      <c r="M972" s="26"/>
      <c r="N972" s="26"/>
      <c r="O972" s="26"/>
      <c r="P972" s="26"/>
      <c r="Q972" s="26"/>
    </row>
    <row r="973" ht="15.75" customHeight="1">
      <c r="A973" s="31" t="s">
        <v>39</v>
      </c>
      <c r="B973" s="9" t="s">
        <v>2964</v>
      </c>
      <c r="C973" s="19" t="s">
        <v>2970</v>
      </c>
      <c r="D973" s="22" t="s">
        <v>1765</v>
      </c>
      <c r="E973" s="19" t="s">
        <v>119</v>
      </c>
      <c r="F973" s="19" t="s">
        <v>521</v>
      </c>
      <c r="G973" s="19" t="s">
        <v>90</v>
      </c>
      <c r="H973" s="22" t="s">
        <v>155</v>
      </c>
      <c r="I973" s="25" t="s">
        <v>2971</v>
      </c>
      <c r="J973" s="19"/>
      <c r="K973" s="19" t="s">
        <v>112</v>
      </c>
      <c r="L973" s="22"/>
      <c r="M973" s="26"/>
      <c r="N973" s="26"/>
      <c r="O973" s="26"/>
      <c r="P973" s="26"/>
      <c r="Q973" s="26"/>
    </row>
    <row r="974" ht="15.75" customHeight="1">
      <c r="A974" s="31" t="s">
        <v>39</v>
      </c>
      <c r="B974" s="9" t="s">
        <v>2964</v>
      </c>
      <c r="C974" s="19" t="s">
        <v>2970</v>
      </c>
      <c r="D974" s="22" t="s">
        <v>831</v>
      </c>
      <c r="E974" s="19" t="s">
        <v>119</v>
      </c>
      <c r="F974" s="19" t="s">
        <v>521</v>
      </c>
      <c r="G974" s="19" t="s">
        <v>90</v>
      </c>
      <c r="H974" s="22" t="s">
        <v>155</v>
      </c>
      <c r="I974" s="25" t="s">
        <v>2971</v>
      </c>
      <c r="J974" s="19"/>
      <c r="K974" s="19" t="s">
        <v>112</v>
      </c>
      <c r="L974" s="22"/>
      <c r="M974" s="26"/>
      <c r="N974" s="26"/>
      <c r="O974" s="26"/>
      <c r="P974" s="26"/>
      <c r="Q974" s="26"/>
    </row>
    <row r="975" ht="15.75" customHeight="1">
      <c r="A975" s="31" t="s">
        <v>39</v>
      </c>
      <c r="B975" s="9" t="s">
        <v>2964</v>
      </c>
      <c r="C975" s="19" t="s">
        <v>2756</v>
      </c>
      <c r="D975" s="22" t="s">
        <v>2972</v>
      </c>
      <c r="E975" s="19" t="s">
        <v>109</v>
      </c>
      <c r="F975" s="19" t="s">
        <v>2162</v>
      </c>
      <c r="G975" s="19" t="s">
        <v>90</v>
      </c>
      <c r="H975" s="22" t="s">
        <v>365</v>
      </c>
      <c r="I975" s="25" t="s">
        <v>2973</v>
      </c>
      <c r="J975" s="19" t="s">
        <v>1106</v>
      </c>
      <c r="K975" s="19" t="s">
        <v>156</v>
      </c>
      <c r="L975" s="22"/>
      <c r="M975" s="26"/>
      <c r="N975" s="26"/>
      <c r="O975" s="26"/>
      <c r="P975" s="26"/>
      <c r="Q975" s="26"/>
    </row>
    <row r="976" ht="15.75" customHeight="1">
      <c r="A976" s="31" t="s">
        <v>39</v>
      </c>
      <c r="B976" s="9" t="s">
        <v>2964</v>
      </c>
      <c r="C976" s="19" t="s">
        <v>2756</v>
      </c>
      <c r="D976" s="22" t="s">
        <v>2974</v>
      </c>
      <c r="E976" s="19" t="s">
        <v>109</v>
      </c>
      <c r="F976" s="19" t="s">
        <v>103</v>
      </c>
      <c r="G976" s="19" t="s">
        <v>90</v>
      </c>
      <c r="H976" s="22" t="s">
        <v>365</v>
      </c>
      <c r="I976" s="25" t="s">
        <v>2975</v>
      </c>
      <c r="J976" s="19" t="s">
        <v>1445</v>
      </c>
      <c r="K976" s="19" t="s">
        <v>82</v>
      </c>
      <c r="L976" s="22"/>
      <c r="M976" s="26"/>
      <c r="N976" s="26"/>
      <c r="O976" s="26"/>
      <c r="P976" s="26"/>
      <c r="Q976" s="26"/>
    </row>
    <row r="977" ht="15.75" customHeight="1">
      <c r="A977" s="31" t="s">
        <v>39</v>
      </c>
      <c r="B977" s="9" t="s">
        <v>2964</v>
      </c>
      <c r="C977" s="19" t="s">
        <v>2976</v>
      </c>
      <c r="D977" s="22" t="s">
        <v>2977</v>
      </c>
      <c r="E977" s="19" t="s">
        <v>109</v>
      </c>
      <c r="F977" s="19" t="s">
        <v>103</v>
      </c>
      <c r="G977" s="19" t="s">
        <v>90</v>
      </c>
      <c r="H977" s="22" t="s">
        <v>365</v>
      </c>
      <c r="I977" s="25" t="s">
        <v>2978</v>
      </c>
      <c r="J977" s="19" t="s">
        <v>319</v>
      </c>
      <c r="K977" s="19" t="s">
        <v>143</v>
      </c>
      <c r="L977" s="22" t="s">
        <v>2979</v>
      </c>
      <c r="M977" s="26"/>
      <c r="N977" s="26"/>
      <c r="O977" s="26"/>
      <c r="P977" s="26"/>
      <c r="Q977" s="26"/>
    </row>
    <row r="978" ht="15.75" hidden="1" customHeight="1">
      <c r="A978" s="31" t="s">
        <v>39</v>
      </c>
      <c r="B978" s="9" t="s">
        <v>2964</v>
      </c>
      <c r="C978" s="19" t="s">
        <v>1085</v>
      </c>
      <c r="D978" s="22" t="s">
        <v>2980</v>
      </c>
      <c r="E978" s="19" t="s">
        <v>109</v>
      </c>
      <c r="F978" s="19" t="s">
        <v>2981</v>
      </c>
      <c r="G978" s="19" t="s">
        <v>142</v>
      </c>
      <c r="H978" s="24" t="s">
        <v>59</v>
      </c>
      <c r="I978" s="25" t="s">
        <v>2982</v>
      </c>
      <c r="J978" s="19"/>
      <c r="K978" s="19" t="s">
        <v>117</v>
      </c>
      <c r="L978" s="22" t="s">
        <v>2983</v>
      </c>
      <c r="M978" s="26"/>
      <c r="N978" s="26"/>
      <c r="O978" s="26"/>
      <c r="P978" s="26"/>
      <c r="Q978" s="26"/>
    </row>
    <row r="979" ht="15.75" hidden="1" customHeight="1">
      <c r="A979" s="31" t="s">
        <v>39</v>
      </c>
      <c r="B979" s="9" t="s">
        <v>2964</v>
      </c>
      <c r="C979" s="19" t="s">
        <v>1085</v>
      </c>
      <c r="D979" s="22" t="s">
        <v>2984</v>
      </c>
      <c r="E979" s="19" t="s">
        <v>109</v>
      </c>
      <c r="F979" s="19" t="s">
        <v>1087</v>
      </c>
      <c r="G979" s="19" t="s">
        <v>135</v>
      </c>
      <c r="H979" s="24" t="s">
        <v>59</v>
      </c>
      <c r="I979" s="25" t="s">
        <v>2985</v>
      </c>
      <c r="J979" s="19" t="s">
        <v>319</v>
      </c>
      <c r="K979" s="19" t="s">
        <v>175</v>
      </c>
      <c r="L979" s="22"/>
      <c r="M979" s="26"/>
      <c r="N979" s="26"/>
      <c r="O979" s="26"/>
      <c r="P979" s="26"/>
      <c r="Q979" s="26"/>
    </row>
    <row r="980" ht="15.75" hidden="1" customHeight="1">
      <c r="A980" s="31" t="s">
        <v>39</v>
      </c>
      <c r="B980" s="9" t="s">
        <v>2964</v>
      </c>
      <c r="C980" s="19" t="s">
        <v>2867</v>
      </c>
      <c r="D980" s="22" t="s">
        <v>1362</v>
      </c>
      <c r="E980" s="19" t="s">
        <v>109</v>
      </c>
      <c r="F980" s="19" t="s">
        <v>1094</v>
      </c>
      <c r="G980" s="19" t="s">
        <v>135</v>
      </c>
      <c r="H980" s="24" t="s">
        <v>59</v>
      </c>
      <c r="I980" s="25" t="s">
        <v>2986</v>
      </c>
      <c r="J980" s="19"/>
      <c r="K980" s="19" t="s">
        <v>143</v>
      </c>
      <c r="L980" s="22" t="s">
        <v>1846</v>
      </c>
      <c r="M980" s="26"/>
      <c r="N980" s="26"/>
      <c r="O980" s="26"/>
      <c r="P980" s="26"/>
      <c r="Q980" s="26"/>
    </row>
    <row r="981" ht="15.75" hidden="1" customHeight="1">
      <c r="A981" s="31" t="s">
        <v>39</v>
      </c>
      <c r="B981" s="9" t="s">
        <v>2964</v>
      </c>
      <c r="C981" s="19" t="s">
        <v>2867</v>
      </c>
      <c r="D981" s="22" t="s">
        <v>2987</v>
      </c>
      <c r="E981" s="19" t="s">
        <v>109</v>
      </c>
      <c r="F981" s="19" t="s">
        <v>89</v>
      </c>
      <c r="G981" s="19" t="s">
        <v>135</v>
      </c>
      <c r="H981" s="24" t="s">
        <v>59</v>
      </c>
      <c r="I981" s="25" t="s">
        <v>2988</v>
      </c>
      <c r="J981" s="19" t="s">
        <v>273</v>
      </c>
      <c r="K981" s="19" t="s">
        <v>94</v>
      </c>
      <c r="L981" s="22"/>
      <c r="M981" s="26"/>
      <c r="N981" s="26"/>
      <c r="O981" s="26"/>
      <c r="P981" s="26"/>
      <c r="Q981" s="26"/>
    </row>
    <row r="982" ht="15.75" hidden="1" customHeight="1">
      <c r="A982" s="31" t="s">
        <v>39</v>
      </c>
      <c r="B982" s="9" t="s">
        <v>2964</v>
      </c>
      <c r="C982" s="19" t="s">
        <v>2226</v>
      </c>
      <c r="D982" s="22" t="s">
        <v>2989</v>
      </c>
      <c r="E982" s="19" t="s">
        <v>109</v>
      </c>
      <c r="F982" s="19" t="s">
        <v>1062</v>
      </c>
      <c r="G982" s="19" t="s">
        <v>57</v>
      </c>
      <c r="H982" s="22" t="s">
        <v>155</v>
      </c>
      <c r="I982" s="25" t="s">
        <v>2990</v>
      </c>
      <c r="J982" s="19" t="s">
        <v>635</v>
      </c>
      <c r="K982" s="19" t="s">
        <v>110</v>
      </c>
      <c r="L982" s="22"/>
      <c r="M982" s="26"/>
      <c r="N982" s="26"/>
      <c r="O982" s="26"/>
      <c r="P982" s="26"/>
      <c r="Q982" s="26"/>
    </row>
    <row r="983" ht="15.75" customHeight="1">
      <c r="A983" s="31" t="s">
        <v>39</v>
      </c>
      <c r="B983" s="9" t="s">
        <v>2964</v>
      </c>
      <c r="C983" s="19" t="s">
        <v>918</v>
      </c>
      <c r="D983" s="22" t="s">
        <v>2991</v>
      </c>
      <c r="E983" s="19" t="s">
        <v>119</v>
      </c>
      <c r="F983" s="19" t="s">
        <v>2763</v>
      </c>
      <c r="G983" s="19" t="s">
        <v>90</v>
      </c>
      <c r="H983" s="22" t="s">
        <v>155</v>
      </c>
      <c r="I983" s="25" t="s">
        <v>2992</v>
      </c>
      <c r="J983" s="19" t="s">
        <v>1445</v>
      </c>
      <c r="K983" s="19" t="s">
        <v>78</v>
      </c>
      <c r="L983" s="22"/>
      <c r="M983" s="26"/>
      <c r="N983" s="26"/>
      <c r="O983" s="26"/>
      <c r="P983" s="26"/>
      <c r="Q983" s="26"/>
    </row>
    <row r="984" ht="15.75" customHeight="1">
      <c r="A984" s="31" t="s">
        <v>39</v>
      </c>
      <c r="B984" s="9" t="s">
        <v>2964</v>
      </c>
      <c r="C984" s="19" t="s">
        <v>2993</v>
      </c>
      <c r="D984" s="22" t="s">
        <v>2994</v>
      </c>
      <c r="E984" s="19" t="s">
        <v>109</v>
      </c>
      <c r="F984" s="19" t="s">
        <v>1220</v>
      </c>
      <c r="G984" s="19" t="s">
        <v>90</v>
      </c>
      <c r="H984" s="22" t="s">
        <v>365</v>
      </c>
      <c r="I984" s="25" t="s">
        <v>2995</v>
      </c>
      <c r="J984" s="19"/>
      <c r="K984" s="19" t="s">
        <v>117</v>
      </c>
      <c r="L984" s="22" t="s">
        <v>2996</v>
      </c>
      <c r="M984" s="26"/>
      <c r="N984" s="26"/>
      <c r="O984" s="26"/>
      <c r="P984" s="26"/>
      <c r="Q984" s="26"/>
    </row>
    <row r="985" ht="15.75" customHeight="1">
      <c r="A985" s="31" t="s">
        <v>39</v>
      </c>
      <c r="B985" s="9" t="s">
        <v>2964</v>
      </c>
      <c r="C985" s="19" t="s">
        <v>2997</v>
      </c>
      <c r="D985" s="22" t="s">
        <v>2998</v>
      </c>
      <c r="E985" s="19" t="s">
        <v>119</v>
      </c>
      <c r="F985" s="19" t="s">
        <v>868</v>
      </c>
      <c r="G985" s="19" t="s">
        <v>90</v>
      </c>
      <c r="H985" s="22" t="s">
        <v>155</v>
      </c>
      <c r="I985" s="25" t="s">
        <v>2999</v>
      </c>
      <c r="J985" s="19"/>
      <c r="K985" s="19" t="s">
        <v>112</v>
      </c>
      <c r="L985" s="22"/>
      <c r="M985" s="26"/>
      <c r="N985" s="26"/>
      <c r="O985" s="26"/>
      <c r="P985" s="26"/>
      <c r="Q985" s="26"/>
    </row>
    <row r="986" ht="15.75" customHeight="1">
      <c r="A986" s="31" t="s">
        <v>39</v>
      </c>
      <c r="B986" s="9" t="s">
        <v>2964</v>
      </c>
      <c r="C986" s="19" t="s">
        <v>2997</v>
      </c>
      <c r="D986" s="22" t="s">
        <v>656</v>
      </c>
      <c r="E986" s="19" t="s">
        <v>109</v>
      </c>
      <c r="F986" s="19" t="s">
        <v>868</v>
      </c>
      <c r="G986" s="19" t="s">
        <v>90</v>
      </c>
      <c r="H986" s="22" t="s">
        <v>365</v>
      </c>
      <c r="I986" s="25" t="s">
        <v>3000</v>
      </c>
      <c r="J986" s="19" t="s">
        <v>95</v>
      </c>
      <c r="K986" s="19" t="s">
        <v>52</v>
      </c>
      <c r="L986" s="22"/>
      <c r="M986" s="26"/>
      <c r="N986" s="26"/>
      <c r="O986" s="26"/>
      <c r="P986" s="26"/>
      <c r="Q986" s="26"/>
    </row>
    <row r="987" ht="15.75" customHeight="1">
      <c r="A987" s="31" t="s">
        <v>39</v>
      </c>
      <c r="B987" s="9" t="s">
        <v>2964</v>
      </c>
      <c r="C987" s="19" t="s">
        <v>2997</v>
      </c>
      <c r="D987" s="22" t="s">
        <v>3001</v>
      </c>
      <c r="E987" s="19" t="s">
        <v>109</v>
      </c>
      <c r="F987" s="19" t="s">
        <v>868</v>
      </c>
      <c r="G987" s="19" t="s">
        <v>90</v>
      </c>
      <c r="H987" s="22" t="s">
        <v>365</v>
      </c>
      <c r="I987" s="25" t="s">
        <v>3002</v>
      </c>
      <c r="J987" s="19"/>
      <c r="K987" s="19" t="s">
        <v>137</v>
      </c>
      <c r="L987" s="22"/>
      <c r="M987" s="26"/>
      <c r="N987" s="26"/>
      <c r="O987" s="26"/>
      <c r="P987" s="26"/>
      <c r="Q987" s="26"/>
    </row>
    <row r="988" ht="15.75" customHeight="1">
      <c r="A988" s="31" t="s">
        <v>39</v>
      </c>
      <c r="B988" s="9" t="s">
        <v>2964</v>
      </c>
      <c r="C988" s="19" t="s">
        <v>2764</v>
      </c>
      <c r="D988" s="22" t="s">
        <v>2896</v>
      </c>
      <c r="E988" s="19" t="s">
        <v>109</v>
      </c>
      <c r="F988" s="19" t="s">
        <v>631</v>
      </c>
      <c r="G988" s="19" t="s">
        <v>90</v>
      </c>
      <c r="H988" s="22" t="s">
        <v>365</v>
      </c>
      <c r="I988" s="25" t="s">
        <v>2765</v>
      </c>
      <c r="J988" s="19"/>
      <c r="K988" s="19" t="s">
        <v>13</v>
      </c>
      <c r="L988" s="22"/>
      <c r="M988" s="26"/>
      <c r="N988" s="26"/>
      <c r="O988" s="26"/>
      <c r="P988" s="26"/>
      <c r="Q988" s="26"/>
    </row>
    <row r="989" ht="15.75" hidden="1" customHeight="1">
      <c r="A989" s="31" t="s">
        <v>39</v>
      </c>
      <c r="B989" s="9" t="s">
        <v>2964</v>
      </c>
      <c r="C989" s="19" t="s">
        <v>1272</v>
      </c>
      <c r="D989" s="22" t="s">
        <v>656</v>
      </c>
      <c r="E989" s="19" t="s">
        <v>109</v>
      </c>
      <c r="F989" s="19" t="s">
        <v>1062</v>
      </c>
      <c r="G989" s="19" t="s">
        <v>57</v>
      </c>
      <c r="H989" s="22" t="s">
        <v>155</v>
      </c>
      <c r="I989" s="25" t="s">
        <v>1422</v>
      </c>
      <c r="J989" s="19" t="s">
        <v>650</v>
      </c>
      <c r="K989" s="19" t="s">
        <v>110</v>
      </c>
      <c r="L989" s="22"/>
      <c r="M989" s="26"/>
      <c r="N989" s="26"/>
      <c r="O989" s="26"/>
      <c r="P989" s="26"/>
      <c r="Q989" s="26"/>
    </row>
    <row r="990" ht="15.75" hidden="1" customHeight="1">
      <c r="A990" s="31" t="s">
        <v>39</v>
      </c>
      <c r="B990" s="9" t="s">
        <v>2964</v>
      </c>
      <c r="C990" s="19" t="s">
        <v>1050</v>
      </c>
      <c r="D990" s="22" t="s">
        <v>3003</v>
      </c>
      <c r="E990" s="19" t="s">
        <v>109</v>
      </c>
      <c r="F990" s="19" t="s">
        <v>868</v>
      </c>
      <c r="G990" s="19" t="s">
        <v>135</v>
      </c>
      <c r="H990" s="24" t="s">
        <v>59</v>
      </c>
      <c r="I990" s="25" t="s">
        <v>3004</v>
      </c>
      <c r="J990" s="19"/>
      <c r="K990" s="19" t="s">
        <v>117</v>
      </c>
      <c r="L990" s="22" t="s">
        <v>3005</v>
      </c>
      <c r="M990" s="26"/>
      <c r="N990" s="26"/>
      <c r="O990" s="26"/>
      <c r="P990" s="26"/>
      <c r="Q990" s="26"/>
    </row>
    <row r="991" ht="15.75" customHeight="1">
      <c r="A991" s="31" t="s">
        <v>39</v>
      </c>
      <c r="B991" s="9" t="s">
        <v>2964</v>
      </c>
      <c r="C991" s="19" t="s">
        <v>3006</v>
      </c>
      <c r="D991" s="22" t="s">
        <v>3007</v>
      </c>
      <c r="E991" s="19" t="s">
        <v>109</v>
      </c>
      <c r="F991" s="19" t="s">
        <v>2093</v>
      </c>
      <c r="G991" s="19" t="s">
        <v>90</v>
      </c>
      <c r="H991" s="22" t="s">
        <v>365</v>
      </c>
      <c r="I991" s="25" t="s">
        <v>3008</v>
      </c>
      <c r="J991" s="19" t="s">
        <v>140</v>
      </c>
      <c r="K991" s="19" t="s">
        <v>180</v>
      </c>
      <c r="L991" s="22"/>
      <c r="M991" s="26"/>
      <c r="N991" s="26"/>
      <c r="O991" s="26"/>
      <c r="P991" s="26"/>
      <c r="Q991" s="26"/>
    </row>
    <row r="992" ht="15.75" customHeight="1">
      <c r="A992" s="31" t="s">
        <v>39</v>
      </c>
      <c r="B992" s="9" t="s">
        <v>2964</v>
      </c>
      <c r="C992" s="19" t="s">
        <v>3009</v>
      </c>
      <c r="D992" s="22" t="s">
        <v>3010</v>
      </c>
      <c r="E992" s="19" t="s">
        <v>109</v>
      </c>
      <c r="F992" s="19" t="s">
        <v>3011</v>
      </c>
      <c r="G992" s="19" t="s">
        <v>90</v>
      </c>
      <c r="H992" s="22" t="s">
        <v>365</v>
      </c>
      <c r="I992" s="25" t="s">
        <v>3012</v>
      </c>
      <c r="J992" s="19" t="s">
        <v>140</v>
      </c>
      <c r="K992" s="19" t="s">
        <v>82</v>
      </c>
      <c r="L992" s="22" t="s">
        <v>3013</v>
      </c>
      <c r="M992" s="26"/>
      <c r="N992" s="26"/>
      <c r="O992" s="26"/>
      <c r="P992" s="26"/>
      <c r="Q992" s="26"/>
    </row>
    <row r="993" ht="15.75" customHeight="1">
      <c r="A993" s="31" t="s">
        <v>39</v>
      </c>
      <c r="B993" s="9" t="s">
        <v>2964</v>
      </c>
      <c r="C993" s="19" t="s">
        <v>3014</v>
      </c>
      <c r="D993" s="22" t="s">
        <v>3015</v>
      </c>
      <c r="E993" s="19" t="s">
        <v>109</v>
      </c>
      <c r="F993" s="19" t="s">
        <v>3016</v>
      </c>
      <c r="G993" s="19" t="s">
        <v>90</v>
      </c>
      <c r="H993" s="22" t="s">
        <v>365</v>
      </c>
      <c r="I993" s="25" t="s">
        <v>3017</v>
      </c>
      <c r="J993" s="19" t="s">
        <v>456</v>
      </c>
      <c r="K993" s="19" t="s">
        <v>52</v>
      </c>
      <c r="L993" s="22"/>
      <c r="M993" s="26"/>
      <c r="N993" s="26"/>
      <c r="O993" s="26"/>
      <c r="P993" s="26"/>
      <c r="Q993" s="26"/>
    </row>
    <row r="994" ht="15.75" customHeight="1">
      <c r="A994" s="31" t="s">
        <v>39</v>
      </c>
      <c r="B994" s="9" t="s">
        <v>2964</v>
      </c>
      <c r="C994" s="19" t="s">
        <v>3014</v>
      </c>
      <c r="D994" s="22" t="s">
        <v>3018</v>
      </c>
      <c r="E994" s="19" t="s">
        <v>109</v>
      </c>
      <c r="F994" s="19" t="s">
        <v>3019</v>
      </c>
      <c r="G994" s="19" t="s">
        <v>90</v>
      </c>
      <c r="H994" s="22" t="s">
        <v>365</v>
      </c>
      <c r="I994" s="25" t="s">
        <v>3020</v>
      </c>
      <c r="J994" s="19" t="s">
        <v>456</v>
      </c>
      <c r="K994" s="19" t="s">
        <v>52</v>
      </c>
      <c r="L994" s="22"/>
      <c r="M994" s="26"/>
      <c r="N994" s="26"/>
      <c r="O994" s="26"/>
      <c r="P994" s="26"/>
      <c r="Q994" s="26"/>
    </row>
    <row r="995" ht="15.75" customHeight="1">
      <c r="A995" s="31" t="s">
        <v>39</v>
      </c>
      <c r="B995" s="9" t="s">
        <v>2964</v>
      </c>
      <c r="C995" s="19" t="s">
        <v>1437</v>
      </c>
      <c r="D995" s="22" t="s">
        <v>3010</v>
      </c>
      <c r="E995" s="19" t="s">
        <v>109</v>
      </c>
      <c r="F995" s="19" t="s">
        <v>3011</v>
      </c>
      <c r="G995" s="19" t="s">
        <v>90</v>
      </c>
      <c r="H995" s="22" t="s">
        <v>365</v>
      </c>
      <c r="I995" s="25" t="s">
        <v>3021</v>
      </c>
      <c r="J995" s="19" t="s">
        <v>456</v>
      </c>
      <c r="K995" s="19" t="s">
        <v>175</v>
      </c>
      <c r="L995" s="22" t="s">
        <v>3022</v>
      </c>
      <c r="M995" s="26"/>
      <c r="N995" s="26"/>
      <c r="O995" s="26"/>
      <c r="P995" s="26"/>
      <c r="Q995" s="26"/>
    </row>
    <row r="996" ht="15.75" customHeight="1">
      <c r="A996" s="31" t="s">
        <v>39</v>
      </c>
      <c r="B996" s="9" t="s">
        <v>2964</v>
      </c>
      <c r="C996" s="19" t="s">
        <v>3023</v>
      </c>
      <c r="D996" s="22" t="s">
        <v>3018</v>
      </c>
      <c r="E996" s="19" t="s">
        <v>109</v>
      </c>
      <c r="F996" s="19" t="s">
        <v>3019</v>
      </c>
      <c r="G996" s="19" t="s">
        <v>90</v>
      </c>
      <c r="H996" s="22" t="s">
        <v>365</v>
      </c>
      <c r="I996" s="25" t="s">
        <v>3024</v>
      </c>
      <c r="J996" s="19" t="s">
        <v>456</v>
      </c>
      <c r="K996" s="19" t="s">
        <v>82</v>
      </c>
      <c r="L996" s="22"/>
      <c r="M996" s="26"/>
      <c r="N996" s="26"/>
      <c r="O996" s="26"/>
      <c r="P996" s="26"/>
      <c r="Q996" s="26"/>
    </row>
    <row r="997" ht="15.75" customHeight="1">
      <c r="A997" s="31" t="s">
        <v>39</v>
      </c>
      <c r="B997" s="9" t="s">
        <v>2964</v>
      </c>
      <c r="C997" s="19" t="s">
        <v>3025</v>
      </c>
      <c r="D997" s="22" t="s">
        <v>1209</v>
      </c>
      <c r="E997" s="19" t="s">
        <v>109</v>
      </c>
      <c r="F997" s="19" t="s">
        <v>3026</v>
      </c>
      <c r="G997" s="19" t="s">
        <v>90</v>
      </c>
      <c r="H997" s="22" t="s">
        <v>365</v>
      </c>
      <c r="I997" s="25" t="s">
        <v>3027</v>
      </c>
      <c r="J997" s="19"/>
      <c r="K997" s="19" t="s">
        <v>117</v>
      </c>
      <c r="L997" s="22" t="s">
        <v>3028</v>
      </c>
      <c r="M997" s="26"/>
      <c r="N997" s="26"/>
      <c r="O997" s="26"/>
      <c r="P997" s="26"/>
      <c r="Q997" s="26"/>
    </row>
    <row r="998" ht="15.75" customHeight="1">
      <c r="A998" s="31" t="s">
        <v>39</v>
      </c>
      <c r="B998" s="9" t="s">
        <v>2964</v>
      </c>
      <c r="C998" s="19" t="s">
        <v>866</v>
      </c>
      <c r="D998" s="22" t="s">
        <v>2965</v>
      </c>
      <c r="E998" s="19" t="s">
        <v>121</v>
      </c>
      <c r="F998" s="19" t="s">
        <v>868</v>
      </c>
      <c r="G998" s="19" t="s">
        <v>90</v>
      </c>
      <c r="H998" s="24" t="s">
        <v>59</v>
      </c>
      <c r="I998" s="25" t="s">
        <v>3029</v>
      </c>
      <c r="J998" s="19"/>
      <c r="K998" s="19" t="s">
        <v>112</v>
      </c>
      <c r="L998" s="22"/>
      <c r="M998" s="26"/>
      <c r="N998" s="26"/>
      <c r="O998" s="26"/>
      <c r="P998" s="26"/>
      <c r="Q998" s="26"/>
    </row>
    <row r="999" ht="15.75" hidden="1" customHeight="1">
      <c r="A999" s="31" t="s">
        <v>39</v>
      </c>
      <c r="B999" s="9" t="s">
        <v>2964</v>
      </c>
      <c r="C999" s="19" t="s">
        <v>194</v>
      </c>
      <c r="D999" s="22" t="s">
        <v>3030</v>
      </c>
      <c r="E999" s="19" t="s">
        <v>109</v>
      </c>
      <c r="F999" s="19" t="s">
        <v>241</v>
      </c>
      <c r="G999" s="19" t="s">
        <v>135</v>
      </c>
      <c r="H999" s="24" t="s">
        <v>59</v>
      </c>
      <c r="I999" s="25" t="s">
        <v>3031</v>
      </c>
      <c r="J999" s="19"/>
      <c r="K999" s="19" t="s">
        <v>74</v>
      </c>
      <c r="L999" s="22" t="s">
        <v>723</v>
      </c>
      <c r="M999" s="26"/>
      <c r="N999" s="26"/>
      <c r="O999" s="26"/>
      <c r="P999" s="26"/>
      <c r="Q999" s="26"/>
    </row>
    <row r="1000" ht="15.75" hidden="1" customHeight="1">
      <c r="A1000" s="31" t="s">
        <v>39</v>
      </c>
      <c r="B1000" s="9" t="s">
        <v>2964</v>
      </c>
      <c r="C1000" s="19" t="s">
        <v>3032</v>
      </c>
      <c r="D1000" s="22" t="s">
        <v>3033</v>
      </c>
      <c r="E1000" s="19" t="s">
        <v>109</v>
      </c>
      <c r="F1000" s="19" t="s">
        <v>3034</v>
      </c>
      <c r="G1000" s="19" t="s">
        <v>135</v>
      </c>
      <c r="H1000" s="24" t="s">
        <v>59</v>
      </c>
      <c r="I1000" s="25" t="s">
        <v>3035</v>
      </c>
      <c r="J1000" s="19" t="s">
        <v>456</v>
      </c>
      <c r="K1000" s="19" t="s">
        <v>52</v>
      </c>
      <c r="L1000" s="22"/>
      <c r="M1000" s="26"/>
      <c r="N1000" s="26"/>
      <c r="O1000" s="26"/>
      <c r="P1000" s="26"/>
      <c r="Q1000" s="26"/>
    </row>
    <row r="1001" ht="15.75" hidden="1" customHeight="1">
      <c r="A1001" s="31" t="s">
        <v>39</v>
      </c>
      <c r="B1001" s="9" t="s">
        <v>2964</v>
      </c>
      <c r="C1001" s="19" t="s">
        <v>3032</v>
      </c>
      <c r="D1001" s="22" t="s">
        <v>3036</v>
      </c>
      <c r="E1001" s="19" t="s">
        <v>109</v>
      </c>
      <c r="F1001" s="19" t="s">
        <v>3037</v>
      </c>
      <c r="G1001" s="19" t="s">
        <v>135</v>
      </c>
      <c r="H1001" s="24" t="s">
        <v>59</v>
      </c>
      <c r="I1001" s="25" t="s">
        <v>3038</v>
      </c>
      <c r="J1001" s="19" t="s">
        <v>456</v>
      </c>
      <c r="K1001" s="19" t="s">
        <v>52</v>
      </c>
      <c r="L1001" s="22" t="s">
        <v>3039</v>
      </c>
      <c r="M1001" s="26"/>
      <c r="N1001" s="26"/>
      <c r="O1001" s="26"/>
      <c r="P1001" s="26"/>
      <c r="Q1001" s="26"/>
    </row>
    <row r="1002" ht="15.75" hidden="1" customHeight="1">
      <c r="A1002" s="31" t="s">
        <v>39</v>
      </c>
      <c r="B1002" s="9" t="s">
        <v>2964</v>
      </c>
      <c r="C1002" s="19" t="s">
        <v>3040</v>
      </c>
      <c r="D1002" s="22" t="s">
        <v>3041</v>
      </c>
      <c r="E1002" s="19" t="s">
        <v>109</v>
      </c>
      <c r="F1002" s="19" t="s">
        <v>335</v>
      </c>
      <c r="G1002" s="19" t="s">
        <v>57</v>
      </c>
      <c r="H1002" s="22" t="s">
        <v>365</v>
      </c>
      <c r="I1002" s="25" t="s">
        <v>2807</v>
      </c>
      <c r="J1002" s="19" t="s">
        <v>2394</v>
      </c>
      <c r="K1002" s="19" t="s">
        <v>66</v>
      </c>
      <c r="L1002" s="22"/>
      <c r="M1002" s="26"/>
      <c r="N1002" s="26"/>
      <c r="O1002" s="26"/>
      <c r="P1002" s="26"/>
      <c r="Q1002" s="26"/>
    </row>
    <row r="1003" ht="15.75" customHeight="1">
      <c r="A1003" s="31" t="s">
        <v>39</v>
      </c>
      <c r="B1003" s="9" t="s">
        <v>2964</v>
      </c>
      <c r="C1003" s="19" t="s">
        <v>3042</v>
      </c>
      <c r="D1003" s="22" t="s">
        <v>3043</v>
      </c>
      <c r="E1003" s="19" t="s">
        <v>109</v>
      </c>
      <c r="F1003" s="19" t="s">
        <v>2815</v>
      </c>
      <c r="G1003" s="19" t="s">
        <v>90</v>
      </c>
      <c r="H1003" s="22" t="s">
        <v>365</v>
      </c>
      <c r="I1003" s="25" t="s">
        <v>3044</v>
      </c>
      <c r="J1003" s="19" t="s">
        <v>95</v>
      </c>
      <c r="K1003" s="19" t="s">
        <v>82</v>
      </c>
      <c r="L1003" s="22"/>
      <c r="M1003" s="26"/>
      <c r="N1003" s="26"/>
      <c r="O1003" s="26"/>
      <c r="P1003" s="26"/>
      <c r="Q1003" s="26"/>
    </row>
    <row r="1004" ht="15.75" customHeight="1">
      <c r="A1004" s="31" t="s">
        <v>39</v>
      </c>
      <c r="B1004" s="9" t="s">
        <v>2964</v>
      </c>
      <c r="C1004" s="19" t="s">
        <v>3042</v>
      </c>
      <c r="D1004" s="22" t="s">
        <v>3045</v>
      </c>
      <c r="E1004" s="19" t="s">
        <v>109</v>
      </c>
      <c r="F1004" s="19" t="s">
        <v>2815</v>
      </c>
      <c r="G1004" s="19" t="s">
        <v>90</v>
      </c>
      <c r="H1004" s="22" t="s">
        <v>365</v>
      </c>
      <c r="I1004" s="25" t="s">
        <v>3046</v>
      </c>
      <c r="J1004" s="19" t="s">
        <v>95</v>
      </c>
      <c r="K1004" s="19" t="s">
        <v>82</v>
      </c>
      <c r="L1004" s="22"/>
      <c r="M1004" s="26"/>
      <c r="N1004" s="26"/>
      <c r="O1004" s="26"/>
      <c r="P1004" s="26"/>
      <c r="Q1004" s="26"/>
    </row>
    <row r="1005" ht="15.75" customHeight="1">
      <c r="A1005" s="31" t="s">
        <v>39</v>
      </c>
      <c r="B1005" s="9" t="s">
        <v>2964</v>
      </c>
      <c r="C1005" s="19" t="s">
        <v>3047</v>
      </c>
      <c r="D1005" s="22" t="s">
        <v>3048</v>
      </c>
      <c r="E1005" s="19" t="s">
        <v>109</v>
      </c>
      <c r="F1005" s="19" t="s">
        <v>3049</v>
      </c>
      <c r="G1005" s="19" t="s">
        <v>90</v>
      </c>
      <c r="H1005" s="22" t="s">
        <v>365</v>
      </c>
      <c r="I1005" s="25" t="s">
        <v>3050</v>
      </c>
      <c r="J1005" s="19" t="s">
        <v>140</v>
      </c>
      <c r="K1005" s="19" t="s">
        <v>82</v>
      </c>
      <c r="L1005" s="22" t="s">
        <v>2185</v>
      </c>
      <c r="M1005" s="26"/>
      <c r="N1005" s="26"/>
      <c r="O1005" s="26"/>
      <c r="P1005" s="26"/>
      <c r="Q1005" s="26"/>
    </row>
    <row r="1006" ht="15.75" customHeight="1">
      <c r="A1006" s="31" t="s">
        <v>39</v>
      </c>
      <c r="B1006" s="9" t="s">
        <v>2964</v>
      </c>
      <c r="C1006" s="19" t="s">
        <v>3047</v>
      </c>
      <c r="D1006" s="22" t="s">
        <v>3051</v>
      </c>
      <c r="E1006" s="19" t="s">
        <v>109</v>
      </c>
      <c r="F1006" s="19" t="s">
        <v>3049</v>
      </c>
      <c r="G1006" s="19" t="s">
        <v>90</v>
      </c>
      <c r="H1006" s="22" t="s">
        <v>365</v>
      </c>
      <c r="I1006" s="25" t="s">
        <v>3052</v>
      </c>
      <c r="J1006" s="19" t="s">
        <v>782</v>
      </c>
      <c r="K1006" s="19" t="s">
        <v>82</v>
      </c>
      <c r="L1006" s="22" t="s">
        <v>3053</v>
      </c>
      <c r="M1006" s="26"/>
      <c r="N1006" s="26"/>
      <c r="O1006" s="26"/>
      <c r="P1006" s="26"/>
      <c r="Q1006" s="26"/>
    </row>
    <row r="1007" ht="15.75" customHeight="1">
      <c r="A1007" s="31" t="s">
        <v>39</v>
      </c>
      <c r="B1007" s="9" t="s">
        <v>2964</v>
      </c>
      <c r="C1007" s="19" t="s">
        <v>3054</v>
      </c>
      <c r="D1007" s="22" t="s">
        <v>3055</v>
      </c>
      <c r="E1007" s="19" t="s">
        <v>109</v>
      </c>
      <c r="F1007" s="19" t="s">
        <v>2093</v>
      </c>
      <c r="G1007" s="19" t="s">
        <v>90</v>
      </c>
      <c r="H1007" s="22" t="s">
        <v>365</v>
      </c>
      <c r="I1007" s="25" t="s">
        <v>3056</v>
      </c>
      <c r="J1007" s="19" t="s">
        <v>140</v>
      </c>
      <c r="K1007" s="19" t="s">
        <v>82</v>
      </c>
      <c r="L1007" s="22"/>
      <c r="M1007" s="26"/>
      <c r="N1007" s="26"/>
      <c r="O1007" s="26"/>
      <c r="P1007" s="26"/>
      <c r="Q1007" s="26"/>
    </row>
    <row r="1008" ht="15.75" customHeight="1">
      <c r="A1008" s="31" t="s">
        <v>39</v>
      </c>
      <c r="B1008" s="9" t="s">
        <v>2964</v>
      </c>
      <c r="C1008" s="19" t="s">
        <v>3057</v>
      </c>
      <c r="D1008" s="22" t="s">
        <v>3058</v>
      </c>
      <c r="E1008" s="19" t="s">
        <v>109</v>
      </c>
      <c r="F1008" s="19" t="s">
        <v>868</v>
      </c>
      <c r="G1008" s="19" t="s">
        <v>90</v>
      </c>
      <c r="H1008" s="22" t="s">
        <v>365</v>
      </c>
      <c r="I1008" s="25" t="s">
        <v>3059</v>
      </c>
      <c r="J1008" s="19" t="s">
        <v>811</v>
      </c>
      <c r="K1008" s="19" t="s">
        <v>66</v>
      </c>
      <c r="L1008" s="22"/>
      <c r="M1008" s="26"/>
      <c r="N1008" s="26"/>
      <c r="O1008" s="26"/>
      <c r="P1008" s="26"/>
      <c r="Q1008" s="26"/>
    </row>
    <row r="1009" ht="15.75" customHeight="1">
      <c r="A1009" s="31" t="s">
        <v>39</v>
      </c>
      <c r="B1009" s="9" t="s">
        <v>2964</v>
      </c>
      <c r="C1009" s="19" t="s">
        <v>191</v>
      </c>
      <c r="D1009" s="22" t="s">
        <v>1156</v>
      </c>
      <c r="E1009" s="19" t="s">
        <v>121</v>
      </c>
      <c r="F1009" s="19" t="s">
        <v>241</v>
      </c>
      <c r="G1009" s="19" t="s">
        <v>90</v>
      </c>
      <c r="H1009" s="24" t="s">
        <v>59</v>
      </c>
      <c r="I1009" s="25" t="s">
        <v>3060</v>
      </c>
      <c r="J1009" s="19"/>
      <c r="K1009" s="19" t="s">
        <v>74</v>
      </c>
      <c r="L1009" s="22"/>
      <c r="M1009" s="26"/>
      <c r="N1009" s="26"/>
      <c r="O1009" s="26"/>
      <c r="P1009" s="26"/>
      <c r="Q1009" s="26"/>
    </row>
    <row r="1010" ht="15.75" hidden="1" customHeight="1">
      <c r="A1010" s="31" t="s">
        <v>39</v>
      </c>
      <c r="B1010" s="9" t="s">
        <v>2964</v>
      </c>
      <c r="C1010" s="19" t="s">
        <v>2615</v>
      </c>
      <c r="D1010" s="22" t="s">
        <v>3061</v>
      </c>
      <c r="E1010" s="19" t="s">
        <v>109</v>
      </c>
      <c r="F1010" s="19" t="s">
        <v>241</v>
      </c>
      <c r="G1010" s="19" t="s">
        <v>135</v>
      </c>
      <c r="H1010" s="24" t="s">
        <v>59</v>
      </c>
      <c r="I1010" s="25" t="s">
        <v>3062</v>
      </c>
      <c r="J1010" s="19" t="s">
        <v>157</v>
      </c>
      <c r="K1010" s="19" t="s">
        <v>152</v>
      </c>
      <c r="L1010" s="22" t="s">
        <v>1271</v>
      </c>
      <c r="M1010" s="26"/>
      <c r="N1010" s="26"/>
      <c r="O1010" s="26"/>
      <c r="P1010" s="26"/>
      <c r="Q1010" s="26"/>
    </row>
    <row r="1011" ht="15.75" hidden="1" customHeight="1">
      <c r="A1011" s="31" t="s">
        <v>39</v>
      </c>
      <c r="B1011" s="9" t="s">
        <v>2964</v>
      </c>
      <c r="C1011" s="19" t="s">
        <v>2615</v>
      </c>
      <c r="D1011" s="22" t="s">
        <v>3061</v>
      </c>
      <c r="E1011" s="19" t="s">
        <v>109</v>
      </c>
      <c r="F1011" s="19" t="s">
        <v>103</v>
      </c>
      <c r="G1011" s="19" t="s">
        <v>135</v>
      </c>
      <c r="H1011" s="24" t="s">
        <v>59</v>
      </c>
      <c r="I1011" s="25" t="s">
        <v>2618</v>
      </c>
      <c r="J1011" s="19"/>
      <c r="K1011" s="19" t="s">
        <v>143</v>
      </c>
      <c r="L1011" s="22" t="s">
        <v>1596</v>
      </c>
      <c r="M1011" s="26"/>
      <c r="N1011" s="26"/>
      <c r="O1011" s="26"/>
      <c r="P1011" s="26"/>
      <c r="Q1011" s="26"/>
    </row>
    <row r="1012" ht="15.75" customHeight="1">
      <c r="A1012" s="31" t="s">
        <v>39</v>
      </c>
      <c r="B1012" s="9" t="s">
        <v>2964</v>
      </c>
      <c r="C1012" s="19" t="s">
        <v>3063</v>
      </c>
      <c r="D1012" s="22" t="s">
        <v>3064</v>
      </c>
      <c r="E1012" s="19" t="s">
        <v>119</v>
      </c>
      <c r="F1012" s="19" t="s">
        <v>868</v>
      </c>
      <c r="G1012" s="19" t="s">
        <v>90</v>
      </c>
      <c r="H1012" s="22" t="s">
        <v>155</v>
      </c>
      <c r="I1012" s="25" t="s">
        <v>3065</v>
      </c>
      <c r="J1012" s="19" t="s">
        <v>337</v>
      </c>
      <c r="K1012" s="19" t="s">
        <v>92</v>
      </c>
      <c r="L1012" s="22"/>
      <c r="M1012" s="26"/>
      <c r="N1012" s="26"/>
      <c r="O1012" s="26"/>
      <c r="P1012" s="26"/>
      <c r="Q1012" s="26"/>
    </row>
    <row r="1013" ht="15.75" hidden="1" customHeight="1">
      <c r="A1013" s="31" t="s">
        <v>39</v>
      </c>
      <c r="B1013" s="9" t="s">
        <v>2964</v>
      </c>
      <c r="C1013" s="19" t="s">
        <v>1117</v>
      </c>
      <c r="D1013" s="22" t="s">
        <v>2432</v>
      </c>
      <c r="E1013" s="19" t="s">
        <v>109</v>
      </c>
      <c r="F1013" s="19" t="s">
        <v>631</v>
      </c>
      <c r="G1013" s="19" t="s">
        <v>142</v>
      </c>
      <c r="H1013" s="24" t="s">
        <v>59</v>
      </c>
      <c r="I1013" s="25" t="s">
        <v>3066</v>
      </c>
      <c r="J1013" s="19" t="s">
        <v>157</v>
      </c>
      <c r="K1013" s="19" t="s">
        <v>152</v>
      </c>
      <c r="L1013" s="22" t="s">
        <v>3067</v>
      </c>
      <c r="M1013" s="26"/>
      <c r="N1013" s="26"/>
      <c r="O1013" s="26"/>
      <c r="P1013" s="26"/>
      <c r="Q1013" s="26"/>
    </row>
    <row r="1014" ht="15.75" hidden="1" customHeight="1">
      <c r="A1014" s="31" t="s">
        <v>39</v>
      </c>
      <c r="B1014" s="9" t="s">
        <v>2964</v>
      </c>
      <c r="C1014" s="19" t="s">
        <v>1117</v>
      </c>
      <c r="D1014" s="22" t="s">
        <v>3068</v>
      </c>
      <c r="E1014" s="19" t="s">
        <v>109</v>
      </c>
      <c r="F1014" s="19" t="s">
        <v>631</v>
      </c>
      <c r="G1014" s="19" t="s">
        <v>142</v>
      </c>
      <c r="H1014" s="24" t="s">
        <v>59</v>
      </c>
      <c r="I1014" s="25" t="s">
        <v>3069</v>
      </c>
      <c r="J1014" s="19" t="s">
        <v>157</v>
      </c>
      <c r="K1014" s="19" t="s">
        <v>152</v>
      </c>
      <c r="L1014" s="22" t="s">
        <v>3067</v>
      </c>
      <c r="M1014" s="26"/>
      <c r="N1014" s="26"/>
      <c r="O1014" s="26"/>
      <c r="P1014" s="26"/>
      <c r="Q1014" s="26"/>
    </row>
    <row r="1015" ht="15.75" customHeight="1">
      <c r="A1015" s="31" t="s">
        <v>39</v>
      </c>
      <c r="B1015" s="9" t="s">
        <v>2964</v>
      </c>
      <c r="C1015" s="19" t="s">
        <v>197</v>
      </c>
      <c r="D1015" s="22" t="s">
        <v>2896</v>
      </c>
      <c r="E1015" s="19" t="s">
        <v>109</v>
      </c>
      <c r="F1015" s="19" t="s">
        <v>3070</v>
      </c>
      <c r="G1015" s="19" t="s">
        <v>90</v>
      </c>
      <c r="H1015" s="22" t="s">
        <v>365</v>
      </c>
      <c r="I1015" s="25" t="s">
        <v>3071</v>
      </c>
      <c r="J1015" s="19" t="s">
        <v>456</v>
      </c>
      <c r="K1015" s="19" t="s">
        <v>82</v>
      </c>
      <c r="L1015" s="22" t="s">
        <v>2185</v>
      </c>
      <c r="M1015" s="26"/>
      <c r="N1015" s="26"/>
      <c r="O1015" s="26"/>
      <c r="P1015" s="26"/>
      <c r="Q1015" s="26"/>
    </row>
    <row r="1016" ht="15.75" customHeight="1">
      <c r="A1016" s="31" t="s">
        <v>39</v>
      </c>
      <c r="B1016" s="9" t="s">
        <v>2964</v>
      </c>
      <c r="C1016" s="19" t="s">
        <v>197</v>
      </c>
      <c r="D1016" s="22" t="s">
        <v>2896</v>
      </c>
      <c r="E1016" s="19" t="s">
        <v>109</v>
      </c>
      <c r="F1016" s="19" t="s">
        <v>3072</v>
      </c>
      <c r="G1016" s="19" t="s">
        <v>90</v>
      </c>
      <c r="H1016" s="22" t="s">
        <v>365</v>
      </c>
      <c r="I1016" s="25" t="s">
        <v>3073</v>
      </c>
      <c r="J1016" s="19" t="s">
        <v>982</v>
      </c>
      <c r="K1016" s="19" t="s">
        <v>82</v>
      </c>
      <c r="L1016" s="22" t="s">
        <v>2185</v>
      </c>
      <c r="M1016" s="26"/>
      <c r="N1016" s="26"/>
      <c r="O1016" s="26"/>
      <c r="P1016" s="26"/>
      <c r="Q1016" s="26"/>
    </row>
    <row r="1017" ht="15.75" customHeight="1">
      <c r="A1017" s="31" t="s">
        <v>39</v>
      </c>
      <c r="B1017" s="9" t="s">
        <v>2964</v>
      </c>
      <c r="C1017" s="19" t="s">
        <v>197</v>
      </c>
      <c r="D1017" s="22" t="s">
        <v>2896</v>
      </c>
      <c r="E1017" s="19" t="s">
        <v>109</v>
      </c>
      <c r="F1017" s="19" t="s">
        <v>3074</v>
      </c>
      <c r="G1017" s="19" t="s">
        <v>90</v>
      </c>
      <c r="H1017" s="22" t="s">
        <v>365</v>
      </c>
      <c r="I1017" s="25" t="s">
        <v>3075</v>
      </c>
      <c r="J1017" s="19" t="s">
        <v>982</v>
      </c>
      <c r="K1017" s="19" t="s">
        <v>82</v>
      </c>
      <c r="L1017" s="22" t="s">
        <v>2185</v>
      </c>
      <c r="M1017" s="26"/>
      <c r="N1017" s="26"/>
      <c r="O1017" s="26"/>
      <c r="P1017" s="26"/>
      <c r="Q1017" s="26"/>
    </row>
    <row r="1018" ht="15.75" customHeight="1">
      <c r="A1018" s="31" t="s">
        <v>39</v>
      </c>
      <c r="B1018" s="9" t="s">
        <v>2964</v>
      </c>
      <c r="C1018" s="19" t="s">
        <v>197</v>
      </c>
      <c r="D1018" s="22" t="s">
        <v>2896</v>
      </c>
      <c r="E1018" s="19" t="s">
        <v>109</v>
      </c>
      <c r="F1018" s="19" t="s">
        <v>2171</v>
      </c>
      <c r="G1018" s="19" t="s">
        <v>90</v>
      </c>
      <c r="H1018" s="22" t="s">
        <v>365</v>
      </c>
      <c r="I1018" s="25" t="s">
        <v>3076</v>
      </c>
      <c r="J1018" s="19" t="s">
        <v>1211</v>
      </c>
      <c r="K1018" s="19" t="s">
        <v>82</v>
      </c>
      <c r="L1018" s="22" t="s">
        <v>2185</v>
      </c>
      <c r="M1018" s="26"/>
      <c r="N1018" s="26"/>
      <c r="O1018" s="26"/>
      <c r="P1018" s="26"/>
      <c r="Q1018" s="26"/>
    </row>
    <row r="1019" ht="15.75" customHeight="1">
      <c r="A1019" s="31" t="s">
        <v>39</v>
      </c>
      <c r="B1019" s="9" t="s">
        <v>2964</v>
      </c>
      <c r="C1019" s="19" t="s">
        <v>197</v>
      </c>
      <c r="D1019" s="22" t="s">
        <v>1209</v>
      </c>
      <c r="E1019" s="19" t="s">
        <v>109</v>
      </c>
      <c r="F1019" s="19" t="s">
        <v>3077</v>
      </c>
      <c r="G1019" s="19" t="s">
        <v>90</v>
      </c>
      <c r="H1019" s="22" t="s">
        <v>365</v>
      </c>
      <c r="I1019" s="25" t="s">
        <v>2899</v>
      </c>
      <c r="J1019" s="19" t="s">
        <v>982</v>
      </c>
      <c r="K1019" s="19" t="s">
        <v>66</v>
      </c>
      <c r="L1019" s="22" t="s">
        <v>2900</v>
      </c>
      <c r="M1019" s="26"/>
      <c r="N1019" s="26"/>
      <c r="O1019" s="26"/>
      <c r="P1019" s="26"/>
      <c r="Q1019" s="26"/>
    </row>
    <row r="1020" ht="15.75" customHeight="1">
      <c r="A1020" s="31" t="s">
        <v>39</v>
      </c>
      <c r="B1020" s="9" t="s">
        <v>2964</v>
      </c>
      <c r="C1020" s="19" t="s">
        <v>197</v>
      </c>
      <c r="D1020" s="22" t="s">
        <v>3078</v>
      </c>
      <c r="E1020" s="19" t="s">
        <v>109</v>
      </c>
      <c r="F1020" s="19" t="s">
        <v>3079</v>
      </c>
      <c r="G1020" s="19" t="s">
        <v>90</v>
      </c>
      <c r="H1020" s="22" t="s">
        <v>365</v>
      </c>
      <c r="I1020" s="25" t="s">
        <v>3080</v>
      </c>
      <c r="J1020" s="19" t="s">
        <v>456</v>
      </c>
      <c r="K1020" s="19" t="s">
        <v>82</v>
      </c>
      <c r="L1020" s="22" t="s">
        <v>2185</v>
      </c>
      <c r="M1020" s="26"/>
      <c r="N1020" s="26"/>
      <c r="O1020" s="26"/>
      <c r="P1020" s="26"/>
      <c r="Q1020" s="26"/>
    </row>
    <row r="1021" ht="15.75" customHeight="1">
      <c r="A1021" s="31" t="s">
        <v>39</v>
      </c>
      <c r="B1021" s="9" t="s">
        <v>2964</v>
      </c>
      <c r="C1021" s="19" t="s">
        <v>197</v>
      </c>
      <c r="D1021" s="22" t="s">
        <v>3081</v>
      </c>
      <c r="E1021" s="19" t="s">
        <v>109</v>
      </c>
      <c r="F1021" s="19" t="s">
        <v>2135</v>
      </c>
      <c r="G1021" s="19" t="s">
        <v>90</v>
      </c>
      <c r="H1021" s="22" t="s">
        <v>365</v>
      </c>
      <c r="I1021" s="25" t="s">
        <v>3082</v>
      </c>
      <c r="J1021" s="19" t="s">
        <v>319</v>
      </c>
      <c r="K1021" s="19" t="s">
        <v>82</v>
      </c>
      <c r="L1021" s="22" t="s">
        <v>2185</v>
      </c>
      <c r="M1021" s="26"/>
      <c r="N1021" s="26"/>
      <c r="O1021" s="26"/>
      <c r="P1021" s="26"/>
      <c r="Q1021" s="26"/>
    </row>
    <row r="1022" ht="15.75" hidden="1" customHeight="1">
      <c r="A1022" s="31" t="s">
        <v>39</v>
      </c>
      <c r="B1022" s="9" t="s">
        <v>2964</v>
      </c>
      <c r="C1022" s="19" t="s">
        <v>3083</v>
      </c>
      <c r="D1022" s="22" t="s">
        <v>1362</v>
      </c>
      <c r="E1022" s="19" t="s">
        <v>109</v>
      </c>
      <c r="F1022" s="19" t="s">
        <v>631</v>
      </c>
      <c r="G1022" s="19" t="s">
        <v>142</v>
      </c>
      <c r="H1022" s="24" t="s">
        <v>59</v>
      </c>
      <c r="I1022" s="25" t="s">
        <v>3084</v>
      </c>
      <c r="J1022" s="19" t="s">
        <v>319</v>
      </c>
      <c r="K1022" s="19" t="s">
        <v>110</v>
      </c>
      <c r="L1022" s="22"/>
      <c r="M1022" s="26"/>
      <c r="N1022" s="26"/>
      <c r="O1022" s="26"/>
      <c r="P1022" s="26"/>
      <c r="Q1022" s="26"/>
    </row>
    <row r="1023" ht="15.75" hidden="1" customHeight="1">
      <c r="A1023" s="31" t="s">
        <v>39</v>
      </c>
      <c r="B1023" s="9" t="s">
        <v>2964</v>
      </c>
      <c r="C1023" s="19" t="s">
        <v>362</v>
      </c>
      <c r="D1023" s="22" t="s">
        <v>3085</v>
      </c>
      <c r="E1023" s="19" t="s">
        <v>121</v>
      </c>
      <c r="F1023" s="19" t="s">
        <v>364</v>
      </c>
      <c r="G1023" s="19" t="s">
        <v>135</v>
      </c>
      <c r="H1023" s="22" t="s">
        <v>155</v>
      </c>
      <c r="I1023" s="25" t="s">
        <v>3086</v>
      </c>
      <c r="J1023" s="19" t="s">
        <v>456</v>
      </c>
      <c r="K1023" s="19" t="s">
        <v>78</v>
      </c>
      <c r="L1023" s="22" t="s">
        <v>723</v>
      </c>
      <c r="M1023" s="26"/>
      <c r="N1023" s="26"/>
      <c r="O1023" s="26"/>
      <c r="P1023" s="26"/>
      <c r="Q1023" s="26"/>
    </row>
    <row r="1024" ht="15.75" hidden="1" customHeight="1">
      <c r="A1024" s="31" t="s">
        <v>39</v>
      </c>
      <c r="B1024" s="9" t="s">
        <v>2964</v>
      </c>
      <c r="C1024" s="19" t="s">
        <v>531</v>
      </c>
      <c r="D1024" s="22" t="s">
        <v>656</v>
      </c>
      <c r="E1024" s="19" t="s">
        <v>109</v>
      </c>
      <c r="F1024" s="19" t="s">
        <v>134</v>
      </c>
      <c r="G1024" s="19" t="s">
        <v>135</v>
      </c>
      <c r="H1024" s="24" t="s">
        <v>59</v>
      </c>
      <c r="I1024" s="25" t="s">
        <v>3087</v>
      </c>
      <c r="J1024" s="19" t="s">
        <v>140</v>
      </c>
      <c r="K1024" s="19" t="s">
        <v>13</v>
      </c>
      <c r="L1024" s="22"/>
      <c r="M1024" s="26"/>
      <c r="N1024" s="26"/>
      <c r="O1024" s="26"/>
      <c r="P1024" s="26"/>
      <c r="Q1024" s="26"/>
    </row>
    <row r="1025" ht="15.75" customHeight="1">
      <c r="A1025" s="31" t="s">
        <v>39</v>
      </c>
      <c r="B1025" s="9" t="s">
        <v>2964</v>
      </c>
      <c r="C1025" s="19" t="s">
        <v>174</v>
      </c>
      <c r="D1025" s="22" t="s">
        <v>3088</v>
      </c>
      <c r="E1025" s="19" t="s">
        <v>127</v>
      </c>
      <c r="F1025" s="19" t="s">
        <v>901</v>
      </c>
      <c r="G1025" s="19" t="s">
        <v>90</v>
      </c>
      <c r="H1025" s="24" t="s">
        <v>59</v>
      </c>
      <c r="I1025" s="25" t="s">
        <v>3089</v>
      </c>
      <c r="J1025" s="19"/>
      <c r="K1025" s="19" t="s">
        <v>100</v>
      </c>
      <c r="L1025" s="22"/>
      <c r="M1025" s="26"/>
      <c r="N1025" s="26"/>
      <c r="O1025" s="26"/>
      <c r="P1025" s="26"/>
      <c r="Q1025" s="26"/>
    </row>
    <row r="1026" ht="15.75" customHeight="1">
      <c r="A1026" s="31" t="s">
        <v>39</v>
      </c>
      <c r="B1026" s="9" t="s">
        <v>2964</v>
      </c>
      <c r="C1026" s="19" t="s">
        <v>3090</v>
      </c>
      <c r="D1026" s="22" t="s">
        <v>1740</v>
      </c>
      <c r="E1026" s="19" t="s">
        <v>119</v>
      </c>
      <c r="F1026" s="19" t="s">
        <v>488</v>
      </c>
      <c r="G1026" s="19" t="s">
        <v>90</v>
      </c>
      <c r="H1026" s="22" t="s">
        <v>155</v>
      </c>
      <c r="I1026" s="25" t="s">
        <v>3091</v>
      </c>
      <c r="J1026" s="19" t="s">
        <v>140</v>
      </c>
      <c r="K1026" s="19" t="s">
        <v>78</v>
      </c>
      <c r="L1026" s="22"/>
      <c r="M1026" s="26"/>
      <c r="N1026" s="26"/>
      <c r="O1026" s="26"/>
      <c r="P1026" s="26"/>
      <c r="Q1026" s="26"/>
    </row>
    <row r="1027" ht="15.75" customHeight="1">
      <c r="A1027" s="31" t="s">
        <v>39</v>
      </c>
      <c r="B1027" s="9" t="s">
        <v>2964</v>
      </c>
      <c r="C1027" s="19" t="s">
        <v>3092</v>
      </c>
      <c r="D1027" s="22" t="s">
        <v>3093</v>
      </c>
      <c r="E1027" s="19" t="s">
        <v>119</v>
      </c>
      <c r="F1027" s="19" t="s">
        <v>3094</v>
      </c>
      <c r="G1027" s="19" t="s">
        <v>90</v>
      </c>
      <c r="H1027" s="22" t="s">
        <v>155</v>
      </c>
      <c r="I1027" s="25" t="s">
        <v>3095</v>
      </c>
      <c r="J1027" s="19" t="s">
        <v>1850</v>
      </c>
      <c r="K1027" s="19" t="s">
        <v>78</v>
      </c>
      <c r="L1027" s="22"/>
      <c r="M1027" s="26"/>
      <c r="N1027" s="26"/>
      <c r="O1027" s="26"/>
      <c r="P1027" s="26"/>
      <c r="Q1027" s="26"/>
    </row>
    <row r="1028" ht="15.75" hidden="1" customHeight="1">
      <c r="A1028" s="31" t="s">
        <v>39</v>
      </c>
      <c r="B1028" s="9" t="s">
        <v>2964</v>
      </c>
      <c r="C1028" s="19" t="s">
        <v>2199</v>
      </c>
      <c r="D1028" s="22" t="s">
        <v>3096</v>
      </c>
      <c r="E1028" s="19" t="s">
        <v>109</v>
      </c>
      <c r="F1028" s="19" t="s">
        <v>2201</v>
      </c>
      <c r="G1028" s="19" t="s">
        <v>135</v>
      </c>
      <c r="H1028" s="24" t="s">
        <v>59</v>
      </c>
      <c r="I1028" s="25" t="s">
        <v>2202</v>
      </c>
      <c r="J1028" s="19"/>
      <c r="K1028" s="19" t="s">
        <v>143</v>
      </c>
      <c r="L1028" s="22" t="s">
        <v>3097</v>
      </c>
      <c r="M1028" s="26"/>
      <c r="N1028" s="26"/>
      <c r="O1028" s="26"/>
      <c r="P1028" s="26"/>
      <c r="Q1028" s="26"/>
    </row>
    <row r="1029" ht="15.75" customHeight="1">
      <c r="A1029" s="31" t="s">
        <v>39</v>
      </c>
      <c r="B1029" s="9" t="s">
        <v>2964</v>
      </c>
      <c r="C1029" s="19" t="s">
        <v>3098</v>
      </c>
      <c r="D1029" s="22" t="s">
        <v>3099</v>
      </c>
      <c r="E1029" s="19" t="s">
        <v>109</v>
      </c>
      <c r="F1029" s="19" t="s">
        <v>2187</v>
      </c>
      <c r="G1029" s="19" t="s">
        <v>90</v>
      </c>
      <c r="H1029" s="22" t="s">
        <v>365</v>
      </c>
      <c r="I1029" s="25" t="s">
        <v>3100</v>
      </c>
      <c r="J1029" s="19" t="s">
        <v>627</v>
      </c>
      <c r="K1029" s="19" t="s">
        <v>82</v>
      </c>
      <c r="L1029" s="22"/>
      <c r="M1029" s="26"/>
      <c r="N1029" s="26"/>
      <c r="O1029" s="26"/>
      <c r="P1029" s="26"/>
      <c r="Q1029" s="26"/>
    </row>
    <row r="1030" ht="15.75" customHeight="1">
      <c r="A1030" s="31" t="s">
        <v>39</v>
      </c>
      <c r="B1030" s="9" t="s">
        <v>2964</v>
      </c>
      <c r="C1030" s="19" t="s">
        <v>2844</v>
      </c>
      <c r="D1030" s="22" t="s">
        <v>3101</v>
      </c>
      <c r="E1030" s="19" t="s">
        <v>109</v>
      </c>
      <c r="F1030" s="19" t="s">
        <v>1293</v>
      </c>
      <c r="G1030" s="19" t="s">
        <v>90</v>
      </c>
      <c r="H1030" s="22" t="s">
        <v>365</v>
      </c>
      <c r="I1030" s="25" t="s">
        <v>3102</v>
      </c>
      <c r="J1030" s="19" t="s">
        <v>811</v>
      </c>
      <c r="K1030" s="19" t="s">
        <v>82</v>
      </c>
      <c r="L1030" s="22"/>
      <c r="M1030" s="26"/>
      <c r="N1030" s="26"/>
      <c r="O1030" s="26"/>
      <c r="P1030" s="26"/>
      <c r="Q1030" s="26"/>
    </row>
    <row r="1031" ht="15.75" customHeight="1">
      <c r="A1031" s="31" t="s">
        <v>39</v>
      </c>
      <c r="B1031" s="9" t="s">
        <v>2964</v>
      </c>
      <c r="C1031" s="19" t="s">
        <v>3103</v>
      </c>
      <c r="D1031" s="22" t="s">
        <v>3104</v>
      </c>
      <c r="E1031" s="19" t="s">
        <v>109</v>
      </c>
      <c r="F1031" s="19" t="s">
        <v>3105</v>
      </c>
      <c r="G1031" s="19" t="s">
        <v>90</v>
      </c>
      <c r="H1031" s="22" t="s">
        <v>365</v>
      </c>
      <c r="I1031" s="25" t="s">
        <v>3106</v>
      </c>
      <c r="J1031" s="19"/>
      <c r="K1031" s="19" t="s">
        <v>125</v>
      </c>
      <c r="L1031" s="22"/>
      <c r="M1031" s="26"/>
      <c r="N1031" s="26"/>
      <c r="O1031" s="26"/>
      <c r="P1031" s="26"/>
      <c r="Q1031" s="26"/>
    </row>
    <row r="1032" ht="15.75" hidden="1" customHeight="1">
      <c r="A1032" s="31" t="s">
        <v>39</v>
      </c>
      <c r="B1032" s="9" t="s">
        <v>2964</v>
      </c>
      <c r="C1032" s="19" t="s">
        <v>3107</v>
      </c>
      <c r="D1032" s="22" t="s">
        <v>3108</v>
      </c>
      <c r="E1032" s="19" t="s">
        <v>109</v>
      </c>
      <c r="F1032" s="19" t="s">
        <v>3109</v>
      </c>
      <c r="G1032" s="19" t="s">
        <v>135</v>
      </c>
      <c r="H1032" s="24" t="s">
        <v>59</v>
      </c>
      <c r="I1032" s="25" t="s">
        <v>3110</v>
      </c>
      <c r="J1032" s="19"/>
      <c r="K1032" s="19" t="s">
        <v>74</v>
      </c>
      <c r="L1032" s="22" t="s">
        <v>723</v>
      </c>
      <c r="M1032" s="26"/>
      <c r="N1032" s="26"/>
      <c r="O1032" s="26"/>
      <c r="P1032" s="26"/>
      <c r="Q1032" s="26"/>
    </row>
    <row r="1033" ht="15.75" hidden="1" customHeight="1">
      <c r="A1033" s="31" t="s">
        <v>39</v>
      </c>
      <c r="B1033" s="9" t="s">
        <v>2964</v>
      </c>
      <c r="C1033" s="19" t="s">
        <v>2056</v>
      </c>
      <c r="D1033" s="22" t="s">
        <v>1362</v>
      </c>
      <c r="E1033" s="19" t="s">
        <v>109</v>
      </c>
      <c r="F1033" s="19" t="s">
        <v>631</v>
      </c>
      <c r="G1033" s="19" t="s">
        <v>142</v>
      </c>
      <c r="H1033" s="24" t="s">
        <v>59</v>
      </c>
      <c r="I1033" s="25" t="s">
        <v>3111</v>
      </c>
      <c r="J1033" s="19" t="s">
        <v>553</v>
      </c>
      <c r="K1033" s="19" t="s">
        <v>139</v>
      </c>
      <c r="L1033" s="22" t="s">
        <v>3112</v>
      </c>
      <c r="M1033" s="26"/>
      <c r="N1033" s="26"/>
      <c r="O1033" s="26"/>
      <c r="P1033" s="26"/>
      <c r="Q1033" s="26"/>
    </row>
    <row r="1034" ht="15.75" customHeight="1">
      <c r="A1034" s="31" t="s">
        <v>39</v>
      </c>
      <c r="B1034" s="9" t="s">
        <v>2964</v>
      </c>
      <c r="C1034" s="19" t="s">
        <v>201</v>
      </c>
      <c r="D1034" s="22" t="s">
        <v>3113</v>
      </c>
      <c r="E1034" s="19" t="s">
        <v>109</v>
      </c>
      <c r="F1034" s="19" t="s">
        <v>2675</v>
      </c>
      <c r="G1034" s="19" t="s">
        <v>90</v>
      </c>
      <c r="H1034" s="22" t="s">
        <v>365</v>
      </c>
      <c r="I1034" s="25" t="s">
        <v>3114</v>
      </c>
      <c r="J1034" s="19" t="s">
        <v>95</v>
      </c>
      <c r="K1034" s="19" t="s">
        <v>82</v>
      </c>
      <c r="L1034" s="22"/>
      <c r="M1034" s="26"/>
      <c r="N1034" s="26"/>
      <c r="O1034" s="26"/>
      <c r="P1034" s="26"/>
      <c r="Q1034" s="26"/>
    </row>
    <row r="1035" ht="15.75" hidden="1" customHeight="1">
      <c r="A1035" s="31" t="s">
        <v>39</v>
      </c>
      <c r="B1035" s="9" t="s">
        <v>2964</v>
      </c>
      <c r="C1035" s="19" t="s">
        <v>637</v>
      </c>
      <c r="D1035" s="22" t="s">
        <v>3115</v>
      </c>
      <c r="E1035" s="19" t="s">
        <v>121</v>
      </c>
      <c r="F1035" s="19" t="s">
        <v>364</v>
      </c>
      <c r="G1035" s="19" t="s">
        <v>142</v>
      </c>
      <c r="H1035" s="22" t="s">
        <v>155</v>
      </c>
      <c r="I1035" s="25" t="s">
        <v>3116</v>
      </c>
      <c r="J1035" s="19" t="s">
        <v>443</v>
      </c>
      <c r="K1035" s="19" t="s">
        <v>139</v>
      </c>
      <c r="L1035" s="22"/>
      <c r="M1035" s="26"/>
      <c r="N1035" s="26"/>
      <c r="O1035" s="26"/>
      <c r="P1035" s="26"/>
      <c r="Q1035" s="26"/>
    </row>
    <row r="1036" ht="15.75" customHeight="1">
      <c r="A1036" s="31" t="s">
        <v>39</v>
      </c>
      <c r="B1036" s="9" t="s">
        <v>2964</v>
      </c>
      <c r="C1036" s="19" t="s">
        <v>1364</v>
      </c>
      <c r="D1036" s="22" t="s">
        <v>3117</v>
      </c>
      <c r="E1036" s="19" t="s">
        <v>121</v>
      </c>
      <c r="F1036" s="19" t="s">
        <v>241</v>
      </c>
      <c r="G1036" s="19" t="s">
        <v>90</v>
      </c>
      <c r="H1036" s="24" t="s">
        <v>59</v>
      </c>
      <c r="I1036" s="25" t="s">
        <v>3118</v>
      </c>
      <c r="J1036" s="19"/>
      <c r="K1036" s="19" t="s">
        <v>117</v>
      </c>
      <c r="L1036" s="22"/>
      <c r="M1036" s="26"/>
      <c r="N1036" s="26"/>
      <c r="O1036" s="26"/>
      <c r="P1036" s="26"/>
      <c r="Q1036" s="26"/>
    </row>
    <row r="1037" ht="15.75" customHeight="1">
      <c r="A1037" s="31" t="s">
        <v>39</v>
      </c>
      <c r="B1037" s="9" t="s">
        <v>2964</v>
      </c>
      <c r="C1037" s="19" t="s">
        <v>1538</v>
      </c>
      <c r="D1037" s="22" t="s">
        <v>1765</v>
      </c>
      <c r="E1037" s="19" t="s">
        <v>119</v>
      </c>
      <c r="F1037" s="19" t="s">
        <v>1539</v>
      </c>
      <c r="G1037" s="19" t="s">
        <v>90</v>
      </c>
      <c r="H1037" s="22" t="s">
        <v>155</v>
      </c>
      <c r="I1037" s="25" t="s">
        <v>3119</v>
      </c>
      <c r="J1037" s="19"/>
      <c r="K1037" s="19" t="s">
        <v>100</v>
      </c>
      <c r="L1037" s="22"/>
      <c r="M1037" s="26"/>
      <c r="N1037" s="26"/>
      <c r="O1037" s="26"/>
      <c r="P1037" s="26"/>
      <c r="Q1037" s="26"/>
    </row>
    <row r="1038" ht="15.75" customHeight="1">
      <c r="A1038" s="31" t="s">
        <v>39</v>
      </c>
      <c r="B1038" s="9" t="s">
        <v>2964</v>
      </c>
      <c r="C1038" s="19" t="s">
        <v>2445</v>
      </c>
      <c r="D1038" s="22" t="s">
        <v>3120</v>
      </c>
      <c r="E1038" s="19" t="s">
        <v>119</v>
      </c>
      <c r="F1038" s="19" t="s">
        <v>1736</v>
      </c>
      <c r="G1038" s="19" t="s">
        <v>90</v>
      </c>
      <c r="H1038" s="22" t="s">
        <v>155</v>
      </c>
      <c r="I1038" s="25" t="s">
        <v>1806</v>
      </c>
      <c r="J1038" s="19" t="s">
        <v>337</v>
      </c>
      <c r="K1038" s="19" t="s">
        <v>92</v>
      </c>
      <c r="L1038" s="22"/>
      <c r="M1038" s="26"/>
      <c r="N1038" s="26"/>
      <c r="O1038" s="26"/>
      <c r="P1038" s="26"/>
      <c r="Q1038" s="26"/>
    </row>
    <row r="1039" ht="15.75" customHeight="1">
      <c r="A1039" s="31" t="s">
        <v>39</v>
      </c>
      <c r="B1039" s="9" t="s">
        <v>2964</v>
      </c>
      <c r="C1039" s="19" t="s">
        <v>2445</v>
      </c>
      <c r="D1039" s="22" t="s">
        <v>3121</v>
      </c>
      <c r="E1039" s="19" t="s">
        <v>119</v>
      </c>
      <c r="F1039" s="19" t="s">
        <v>521</v>
      </c>
      <c r="G1039" s="19" t="s">
        <v>90</v>
      </c>
      <c r="H1039" s="22" t="s">
        <v>155</v>
      </c>
      <c r="I1039" s="25" t="s">
        <v>1806</v>
      </c>
      <c r="J1039" s="19"/>
      <c r="K1039" s="19" t="s">
        <v>100</v>
      </c>
      <c r="L1039" s="22"/>
      <c r="M1039" s="26"/>
      <c r="N1039" s="26"/>
      <c r="O1039" s="26"/>
      <c r="P1039" s="26"/>
      <c r="Q1039" s="26"/>
    </row>
    <row r="1040" ht="15.75" customHeight="1">
      <c r="A1040" s="31" t="s">
        <v>39</v>
      </c>
      <c r="B1040" s="9" t="s">
        <v>2964</v>
      </c>
      <c r="C1040" s="19" t="s">
        <v>1372</v>
      </c>
      <c r="D1040" s="22" t="s">
        <v>3122</v>
      </c>
      <c r="E1040" s="19" t="s">
        <v>121</v>
      </c>
      <c r="F1040" s="19" t="s">
        <v>2028</v>
      </c>
      <c r="G1040" s="19" t="s">
        <v>90</v>
      </c>
      <c r="H1040" s="24" t="s">
        <v>59</v>
      </c>
      <c r="I1040" s="25" t="s">
        <v>3123</v>
      </c>
      <c r="J1040" s="19" t="s">
        <v>635</v>
      </c>
      <c r="K1040" s="19" t="s">
        <v>207</v>
      </c>
      <c r="L1040" s="22"/>
      <c r="M1040" s="26"/>
      <c r="N1040" s="26"/>
      <c r="O1040" s="26"/>
      <c r="P1040" s="26"/>
      <c r="Q1040" s="26"/>
    </row>
    <row r="1041" ht="15.75" hidden="1" customHeight="1">
      <c r="A1041" s="31" t="s">
        <v>39</v>
      </c>
      <c r="B1041" s="9" t="s">
        <v>2964</v>
      </c>
      <c r="C1041" s="19" t="s">
        <v>1372</v>
      </c>
      <c r="D1041" s="22" t="s">
        <v>3124</v>
      </c>
      <c r="E1041" s="19" t="s">
        <v>109</v>
      </c>
      <c r="F1041" s="19" t="s">
        <v>3125</v>
      </c>
      <c r="G1041" s="19" t="s">
        <v>142</v>
      </c>
      <c r="H1041" s="24" t="s">
        <v>59</v>
      </c>
      <c r="I1041" s="25" t="s">
        <v>3126</v>
      </c>
      <c r="J1041" s="19" t="s">
        <v>1217</v>
      </c>
      <c r="K1041" s="19" t="s">
        <v>110</v>
      </c>
      <c r="L1041" s="22"/>
      <c r="M1041" s="26"/>
      <c r="N1041" s="26"/>
      <c r="O1041" s="26"/>
      <c r="P1041" s="26"/>
      <c r="Q1041" s="26"/>
    </row>
    <row r="1042" ht="15.75" customHeight="1">
      <c r="A1042" s="31" t="s">
        <v>39</v>
      </c>
      <c r="B1042" s="9" t="s">
        <v>2964</v>
      </c>
      <c r="C1042" s="19" t="s">
        <v>1372</v>
      </c>
      <c r="D1042" s="22" t="s">
        <v>3127</v>
      </c>
      <c r="E1042" s="19" t="s">
        <v>121</v>
      </c>
      <c r="F1042" s="19" t="s">
        <v>89</v>
      </c>
      <c r="G1042" s="19" t="s">
        <v>90</v>
      </c>
      <c r="H1042" s="24" t="s">
        <v>59</v>
      </c>
      <c r="I1042" s="25" t="s">
        <v>3128</v>
      </c>
      <c r="J1042" s="19"/>
      <c r="K1042" s="19" t="s">
        <v>117</v>
      </c>
      <c r="L1042" s="22" t="s">
        <v>3129</v>
      </c>
      <c r="M1042" s="26"/>
      <c r="N1042" s="26"/>
      <c r="O1042" s="26"/>
      <c r="P1042" s="26"/>
      <c r="Q1042" s="26"/>
    </row>
    <row r="1043" ht="15.75" hidden="1" customHeight="1">
      <c r="A1043" s="31" t="s">
        <v>39</v>
      </c>
      <c r="B1043" s="9" t="s">
        <v>2964</v>
      </c>
      <c r="C1043" s="19" t="s">
        <v>3130</v>
      </c>
      <c r="D1043" s="22" t="s">
        <v>656</v>
      </c>
      <c r="E1043" s="19" t="s">
        <v>109</v>
      </c>
      <c r="F1043" s="19" t="s">
        <v>241</v>
      </c>
      <c r="G1043" s="19" t="s">
        <v>135</v>
      </c>
      <c r="H1043" s="24" t="s">
        <v>59</v>
      </c>
      <c r="I1043" s="25" t="s">
        <v>3131</v>
      </c>
      <c r="J1043" s="19"/>
      <c r="K1043" s="19" t="s">
        <v>74</v>
      </c>
      <c r="L1043" s="22" t="s">
        <v>723</v>
      </c>
      <c r="M1043" s="26"/>
      <c r="N1043" s="26"/>
      <c r="O1043" s="26"/>
      <c r="P1043" s="26"/>
      <c r="Q1043" s="26"/>
    </row>
    <row r="1044" ht="15.75" hidden="1" customHeight="1">
      <c r="A1044" s="31" t="s">
        <v>39</v>
      </c>
      <c r="B1044" s="9" t="s">
        <v>3132</v>
      </c>
      <c r="C1044" s="19" t="s">
        <v>1393</v>
      </c>
      <c r="D1044" s="22" t="s">
        <v>633</v>
      </c>
      <c r="E1044" s="19" t="s">
        <v>124</v>
      </c>
      <c r="F1044" s="19" t="s">
        <v>3133</v>
      </c>
      <c r="G1044" s="19" t="s">
        <v>57</v>
      </c>
      <c r="H1044" s="22" t="s">
        <v>365</v>
      </c>
      <c r="I1044" s="25" t="s">
        <v>3134</v>
      </c>
      <c r="J1044" s="19" t="s">
        <v>1211</v>
      </c>
      <c r="K1044" s="19" t="s">
        <v>52</v>
      </c>
      <c r="L1044" s="22" t="s">
        <v>471</v>
      </c>
      <c r="M1044" s="26"/>
      <c r="N1044" s="26"/>
      <c r="O1044" s="26"/>
      <c r="P1044" s="26"/>
      <c r="Q1044" s="26"/>
    </row>
    <row r="1045" ht="15.75" hidden="1" customHeight="1">
      <c r="A1045" s="31" t="s">
        <v>39</v>
      </c>
      <c r="B1045" s="9" t="s">
        <v>3132</v>
      </c>
      <c r="C1045" s="19" t="s">
        <v>3135</v>
      </c>
      <c r="D1045" s="22" t="s">
        <v>702</v>
      </c>
      <c r="E1045" s="19" t="s">
        <v>124</v>
      </c>
      <c r="F1045" s="19" t="s">
        <v>1129</v>
      </c>
      <c r="G1045" s="19" t="s">
        <v>57</v>
      </c>
      <c r="H1045" s="22" t="s">
        <v>365</v>
      </c>
      <c r="I1045" s="25" t="s">
        <v>3136</v>
      </c>
      <c r="J1045" s="19" t="s">
        <v>3137</v>
      </c>
      <c r="K1045" s="19" t="s">
        <v>52</v>
      </c>
      <c r="L1045" s="22" t="s">
        <v>471</v>
      </c>
      <c r="M1045" s="26"/>
      <c r="N1045" s="26"/>
      <c r="O1045" s="26"/>
      <c r="P1045" s="26"/>
      <c r="Q1045" s="26"/>
    </row>
    <row r="1046" ht="15.75" hidden="1" customHeight="1">
      <c r="A1046" s="31" t="s">
        <v>39</v>
      </c>
      <c r="B1046" s="9" t="s">
        <v>3132</v>
      </c>
      <c r="C1046" s="19" t="s">
        <v>1158</v>
      </c>
      <c r="D1046" s="22" t="s">
        <v>3138</v>
      </c>
      <c r="E1046" s="19" t="s">
        <v>115</v>
      </c>
      <c r="F1046" s="19" t="s">
        <v>241</v>
      </c>
      <c r="G1046" s="19" t="s">
        <v>57</v>
      </c>
      <c r="H1046" s="24" t="s">
        <v>59</v>
      </c>
      <c r="I1046" s="25" t="s">
        <v>3139</v>
      </c>
      <c r="J1046" s="19" t="s">
        <v>319</v>
      </c>
      <c r="K1046" s="19" t="s">
        <v>52</v>
      </c>
      <c r="L1046" s="22"/>
      <c r="M1046" s="26"/>
      <c r="N1046" s="26"/>
      <c r="O1046" s="26"/>
      <c r="P1046" s="26"/>
      <c r="Q1046" s="26"/>
    </row>
    <row r="1047" ht="15.75" hidden="1" customHeight="1">
      <c r="A1047" s="31" t="s">
        <v>39</v>
      </c>
      <c r="B1047" s="9" t="s">
        <v>3132</v>
      </c>
      <c r="C1047" s="19" t="s">
        <v>3140</v>
      </c>
      <c r="D1047" s="22" t="s">
        <v>3141</v>
      </c>
      <c r="E1047" s="19" t="s">
        <v>115</v>
      </c>
      <c r="F1047" s="19" t="s">
        <v>3142</v>
      </c>
      <c r="G1047" s="19" t="s">
        <v>57</v>
      </c>
      <c r="H1047" s="24" t="s">
        <v>59</v>
      </c>
      <c r="I1047" s="25" t="s">
        <v>3143</v>
      </c>
      <c r="J1047" s="19" t="s">
        <v>140</v>
      </c>
      <c r="K1047" s="19" t="s">
        <v>13</v>
      </c>
      <c r="L1047" s="22" t="s">
        <v>890</v>
      </c>
      <c r="M1047" s="26"/>
      <c r="N1047" s="26"/>
      <c r="O1047" s="26"/>
      <c r="P1047" s="26"/>
      <c r="Q1047" s="26"/>
    </row>
    <row r="1048" ht="15.75" hidden="1" customHeight="1">
      <c r="A1048" s="31" t="s">
        <v>39</v>
      </c>
      <c r="B1048" s="9" t="s">
        <v>3132</v>
      </c>
      <c r="C1048" s="19" t="s">
        <v>3144</v>
      </c>
      <c r="D1048" s="22" t="s">
        <v>3145</v>
      </c>
      <c r="E1048" s="19" t="s">
        <v>109</v>
      </c>
      <c r="F1048" s="19" t="s">
        <v>3146</v>
      </c>
      <c r="G1048" s="19" t="s">
        <v>135</v>
      </c>
      <c r="H1048" s="22" t="s">
        <v>155</v>
      </c>
      <c r="I1048" s="25" t="s">
        <v>3147</v>
      </c>
      <c r="J1048" s="19"/>
      <c r="K1048" s="19" t="s">
        <v>78</v>
      </c>
      <c r="L1048" s="22" t="s">
        <v>723</v>
      </c>
      <c r="M1048" s="26"/>
      <c r="N1048" s="26"/>
      <c r="O1048" s="26"/>
      <c r="P1048" s="26"/>
      <c r="Q1048" s="26"/>
    </row>
    <row r="1049" ht="15.75" hidden="1" customHeight="1">
      <c r="A1049" s="31" t="s">
        <v>39</v>
      </c>
      <c r="B1049" s="9" t="s">
        <v>3132</v>
      </c>
      <c r="C1049" s="19" t="s">
        <v>2915</v>
      </c>
      <c r="D1049" s="22" t="s">
        <v>2912</v>
      </c>
      <c r="E1049" s="19" t="s">
        <v>124</v>
      </c>
      <c r="F1049" s="19" t="s">
        <v>858</v>
      </c>
      <c r="G1049" s="19" t="s">
        <v>57</v>
      </c>
      <c r="H1049" s="22" t="s">
        <v>365</v>
      </c>
      <c r="I1049" s="25" t="s">
        <v>2916</v>
      </c>
      <c r="J1049" s="19" t="s">
        <v>1445</v>
      </c>
      <c r="K1049" s="19" t="s">
        <v>66</v>
      </c>
      <c r="L1049" s="22"/>
      <c r="M1049" s="26"/>
      <c r="N1049" s="26"/>
      <c r="O1049" s="26"/>
      <c r="P1049" s="26"/>
      <c r="Q1049" s="26"/>
    </row>
    <row r="1050" ht="15.75" hidden="1" customHeight="1">
      <c r="A1050" s="31" t="s">
        <v>39</v>
      </c>
      <c r="B1050" s="9" t="s">
        <v>3132</v>
      </c>
      <c r="C1050" s="19" t="s">
        <v>3148</v>
      </c>
      <c r="D1050" s="22" t="s">
        <v>3149</v>
      </c>
      <c r="E1050" s="19" t="s">
        <v>109</v>
      </c>
      <c r="F1050" s="19" t="s">
        <v>3150</v>
      </c>
      <c r="G1050" s="19" t="s">
        <v>135</v>
      </c>
      <c r="H1050" s="22" t="s">
        <v>155</v>
      </c>
      <c r="I1050" s="25" t="s">
        <v>3151</v>
      </c>
      <c r="J1050" s="19" t="s">
        <v>1240</v>
      </c>
      <c r="K1050" s="19" t="s">
        <v>78</v>
      </c>
      <c r="L1050" s="22" t="s">
        <v>723</v>
      </c>
      <c r="M1050" s="26"/>
      <c r="N1050" s="26"/>
      <c r="O1050" s="26"/>
      <c r="P1050" s="26"/>
      <c r="Q1050" s="26"/>
    </row>
    <row r="1051" ht="15.75" hidden="1" customHeight="1">
      <c r="A1051" s="31" t="s">
        <v>39</v>
      </c>
      <c r="B1051" s="9" t="s">
        <v>3132</v>
      </c>
      <c r="C1051" s="19" t="s">
        <v>3148</v>
      </c>
      <c r="D1051" s="22" t="s">
        <v>3152</v>
      </c>
      <c r="E1051" s="19" t="s">
        <v>109</v>
      </c>
      <c r="F1051" s="19" t="s">
        <v>3150</v>
      </c>
      <c r="G1051" s="19" t="s">
        <v>135</v>
      </c>
      <c r="H1051" s="22" t="s">
        <v>155</v>
      </c>
      <c r="I1051" s="25" t="s">
        <v>3151</v>
      </c>
      <c r="J1051" s="19" t="s">
        <v>1371</v>
      </c>
      <c r="K1051" s="19" t="s">
        <v>78</v>
      </c>
      <c r="L1051" s="22" t="s">
        <v>723</v>
      </c>
      <c r="M1051" s="26"/>
      <c r="N1051" s="26"/>
      <c r="O1051" s="26"/>
      <c r="P1051" s="26"/>
      <c r="Q1051" s="26"/>
    </row>
    <row r="1052" ht="15.75" hidden="1" customHeight="1">
      <c r="A1052" s="31" t="s">
        <v>39</v>
      </c>
      <c r="B1052" s="9" t="s">
        <v>3132</v>
      </c>
      <c r="C1052" s="19" t="s">
        <v>3153</v>
      </c>
      <c r="D1052" s="22" t="s">
        <v>3154</v>
      </c>
      <c r="E1052" s="19" t="s">
        <v>124</v>
      </c>
      <c r="F1052" s="19" t="s">
        <v>3155</v>
      </c>
      <c r="G1052" s="19" t="s">
        <v>57</v>
      </c>
      <c r="H1052" s="22" t="s">
        <v>365</v>
      </c>
      <c r="I1052" s="25" t="s">
        <v>3156</v>
      </c>
      <c r="J1052" s="19" t="s">
        <v>95</v>
      </c>
      <c r="K1052" s="19" t="s">
        <v>52</v>
      </c>
      <c r="L1052" s="22" t="s">
        <v>471</v>
      </c>
      <c r="M1052" s="26"/>
      <c r="N1052" s="26"/>
      <c r="O1052" s="26"/>
      <c r="P1052" s="26"/>
      <c r="Q1052" s="26"/>
    </row>
    <row r="1053" ht="15.75" hidden="1" customHeight="1">
      <c r="A1053" s="31" t="s">
        <v>39</v>
      </c>
      <c r="B1053" s="9" t="s">
        <v>3132</v>
      </c>
      <c r="C1053" s="19" t="s">
        <v>3157</v>
      </c>
      <c r="D1053" s="22" t="s">
        <v>1362</v>
      </c>
      <c r="E1053" s="19" t="s">
        <v>109</v>
      </c>
      <c r="F1053" s="19" t="s">
        <v>335</v>
      </c>
      <c r="G1053" s="19" t="s">
        <v>135</v>
      </c>
      <c r="H1053" s="22" t="s">
        <v>155</v>
      </c>
      <c r="I1053" s="25" t="s">
        <v>2177</v>
      </c>
      <c r="J1053" s="19" t="s">
        <v>926</v>
      </c>
      <c r="K1053" s="19" t="s">
        <v>78</v>
      </c>
      <c r="L1053" s="22" t="s">
        <v>723</v>
      </c>
      <c r="M1053" s="26"/>
      <c r="N1053" s="26"/>
      <c r="O1053" s="26"/>
      <c r="P1053" s="26"/>
      <c r="Q1053" s="26"/>
    </row>
    <row r="1054" ht="15.75" hidden="1" customHeight="1">
      <c r="A1054" s="31" t="s">
        <v>39</v>
      </c>
      <c r="B1054" s="9" t="s">
        <v>3132</v>
      </c>
      <c r="C1054" s="19" t="s">
        <v>3158</v>
      </c>
      <c r="D1054" s="22" t="s">
        <v>3159</v>
      </c>
      <c r="E1054" s="19" t="s">
        <v>124</v>
      </c>
      <c r="F1054" s="19" t="s">
        <v>3160</v>
      </c>
      <c r="G1054" s="19" t="s">
        <v>57</v>
      </c>
      <c r="H1054" s="22" t="s">
        <v>365</v>
      </c>
      <c r="I1054" s="25" t="s">
        <v>3161</v>
      </c>
      <c r="J1054" s="19"/>
      <c r="K1054" s="19" t="s">
        <v>184</v>
      </c>
      <c r="L1054" s="22" t="s">
        <v>3162</v>
      </c>
      <c r="M1054" s="26"/>
      <c r="N1054" s="26"/>
      <c r="O1054" s="26"/>
      <c r="P1054" s="26"/>
      <c r="Q1054" s="26"/>
    </row>
    <row r="1055" ht="15.75" hidden="1" customHeight="1">
      <c r="A1055" s="31" t="s">
        <v>39</v>
      </c>
      <c r="B1055" s="9" t="s">
        <v>3132</v>
      </c>
      <c r="C1055" s="19" t="s">
        <v>1734</v>
      </c>
      <c r="D1055" s="22" t="s">
        <v>3163</v>
      </c>
      <c r="E1055" s="19" t="s">
        <v>124</v>
      </c>
      <c r="F1055" s="19" t="s">
        <v>3026</v>
      </c>
      <c r="G1055" s="19" t="s">
        <v>57</v>
      </c>
      <c r="H1055" s="22" t="s">
        <v>365</v>
      </c>
      <c r="I1055" s="25" t="s">
        <v>3164</v>
      </c>
      <c r="J1055" s="19" t="s">
        <v>3165</v>
      </c>
      <c r="K1055" s="19" t="s">
        <v>52</v>
      </c>
      <c r="L1055" s="22"/>
      <c r="M1055" s="26"/>
      <c r="N1055" s="26"/>
      <c r="O1055" s="26"/>
      <c r="P1055" s="26"/>
      <c r="Q1055" s="26"/>
    </row>
    <row r="1056" ht="15.75" hidden="1" customHeight="1">
      <c r="A1056" s="31" t="s">
        <v>39</v>
      </c>
      <c r="B1056" s="9" t="s">
        <v>3132</v>
      </c>
      <c r="C1056" s="19" t="s">
        <v>3166</v>
      </c>
      <c r="D1056" s="22" t="s">
        <v>3167</v>
      </c>
      <c r="E1056" s="19" t="s">
        <v>124</v>
      </c>
      <c r="F1056" s="19" t="s">
        <v>1291</v>
      </c>
      <c r="G1056" s="19" t="s">
        <v>57</v>
      </c>
      <c r="H1056" s="22" t="s">
        <v>365</v>
      </c>
      <c r="I1056" s="25" t="s">
        <v>3168</v>
      </c>
      <c r="J1056" s="19" t="s">
        <v>1435</v>
      </c>
      <c r="K1056" s="19" t="s">
        <v>52</v>
      </c>
      <c r="L1056" s="22" t="s">
        <v>471</v>
      </c>
      <c r="M1056" s="26"/>
      <c r="N1056" s="26"/>
      <c r="O1056" s="26"/>
      <c r="P1056" s="26"/>
      <c r="Q1056" s="26"/>
    </row>
    <row r="1057" ht="15.75" hidden="1" customHeight="1">
      <c r="A1057" s="31" t="s">
        <v>39</v>
      </c>
      <c r="B1057" s="9" t="s">
        <v>3132</v>
      </c>
      <c r="C1057" s="19" t="s">
        <v>3169</v>
      </c>
      <c r="D1057" s="22" t="s">
        <v>2912</v>
      </c>
      <c r="E1057" s="19" t="s">
        <v>124</v>
      </c>
      <c r="F1057" s="19" t="s">
        <v>3170</v>
      </c>
      <c r="G1057" s="19" t="s">
        <v>57</v>
      </c>
      <c r="H1057" s="22" t="s">
        <v>365</v>
      </c>
      <c r="I1057" s="25" t="s">
        <v>3171</v>
      </c>
      <c r="J1057" s="19" t="s">
        <v>95</v>
      </c>
      <c r="K1057" s="19" t="s">
        <v>52</v>
      </c>
      <c r="L1057" s="22" t="s">
        <v>471</v>
      </c>
      <c r="M1057" s="26"/>
      <c r="N1057" s="26"/>
      <c r="O1057" s="26"/>
      <c r="P1057" s="26"/>
      <c r="Q1057" s="26"/>
    </row>
    <row r="1058" ht="15.75" hidden="1" customHeight="1">
      <c r="A1058" s="31" t="s">
        <v>39</v>
      </c>
      <c r="B1058" s="9" t="s">
        <v>3132</v>
      </c>
      <c r="C1058" s="19" t="s">
        <v>174</v>
      </c>
      <c r="D1058" s="22" t="s">
        <v>3172</v>
      </c>
      <c r="E1058" s="19" t="s">
        <v>115</v>
      </c>
      <c r="F1058" s="19" t="s">
        <v>2793</v>
      </c>
      <c r="G1058" s="19" t="s">
        <v>57</v>
      </c>
      <c r="H1058" s="24" t="s">
        <v>59</v>
      </c>
      <c r="I1058" s="25" t="s">
        <v>3173</v>
      </c>
      <c r="J1058" s="19" t="s">
        <v>456</v>
      </c>
      <c r="K1058" s="19" t="s">
        <v>13</v>
      </c>
      <c r="L1058" s="22"/>
      <c r="M1058" s="26"/>
      <c r="N1058" s="26"/>
      <c r="O1058" s="26"/>
      <c r="P1058" s="26"/>
      <c r="Q1058" s="26"/>
    </row>
    <row r="1059" ht="15.75" hidden="1" customHeight="1">
      <c r="A1059" s="31" t="s">
        <v>39</v>
      </c>
      <c r="B1059" s="9" t="s">
        <v>3132</v>
      </c>
      <c r="C1059" s="19" t="s">
        <v>3174</v>
      </c>
      <c r="D1059" s="22" t="s">
        <v>3175</v>
      </c>
      <c r="E1059" s="19" t="s">
        <v>109</v>
      </c>
      <c r="F1059" s="19" t="s">
        <v>335</v>
      </c>
      <c r="G1059" s="19" t="s">
        <v>142</v>
      </c>
      <c r="H1059" s="22" t="s">
        <v>155</v>
      </c>
      <c r="I1059" s="25" t="s">
        <v>3176</v>
      </c>
      <c r="J1059" s="19"/>
      <c r="K1059" s="19" t="s">
        <v>99</v>
      </c>
      <c r="L1059" s="22" t="s">
        <v>1846</v>
      </c>
      <c r="M1059" s="26"/>
      <c r="N1059" s="26"/>
      <c r="O1059" s="26"/>
      <c r="P1059" s="26"/>
      <c r="Q1059" s="26"/>
    </row>
    <row r="1060" ht="15.75" hidden="1" customHeight="1">
      <c r="A1060" s="31" t="s">
        <v>39</v>
      </c>
      <c r="B1060" s="9" t="s">
        <v>3177</v>
      </c>
      <c r="C1060" s="19" t="s">
        <v>3178</v>
      </c>
      <c r="D1060" s="22" t="s">
        <v>3179</v>
      </c>
      <c r="E1060" s="19" t="s">
        <v>115</v>
      </c>
      <c r="F1060" s="19" t="s">
        <v>335</v>
      </c>
      <c r="G1060" s="19" t="s">
        <v>57</v>
      </c>
      <c r="H1060" s="22" t="s">
        <v>155</v>
      </c>
      <c r="I1060" s="25" t="s">
        <v>3180</v>
      </c>
      <c r="J1060" s="19"/>
      <c r="K1060" s="19" t="s">
        <v>13</v>
      </c>
      <c r="L1060" s="22" t="s">
        <v>890</v>
      </c>
      <c r="M1060" s="26"/>
      <c r="N1060" s="26"/>
      <c r="O1060" s="26"/>
      <c r="P1060" s="26"/>
      <c r="Q1060" s="26"/>
    </row>
    <row r="1061" ht="15.75" hidden="1" customHeight="1">
      <c r="A1061" s="31" t="s">
        <v>39</v>
      </c>
      <c r="B1061" s="9" t="s">
        <v>3177</v>
      </c>
      <c r="C1061" s="19" t="s">
        <v>2263</v>
      </c>
      <c r="D1061" s="22" t="s">
        <v>3181</v>
      </c>
      <c r="E1061" s="19" t="s">
        <v>124</v>
      </c>
      <c r="F1061" s="19" t="s">
        <v>705</v>
      </c>
      <c r="G1061" s="19" t="s">
        <v>135</v>
      </c>
      <c r="H1061" s="22" t="s">
        <v>155</v>
      </c>
      <c r="I1061" s="25" t="s">
        <v>3182</v>
      </c>
      <c r="J1061" s="19" t="s">
        <v>2891</v>
      </c>
      <c r="K1061" s="19" t="s">
        <v>94</v>
      </c>
      <c r="L1061" s="22" t="s">
        <v>471</v>
      </c>
      <c r="M1061" s="26"/>
      <c r="N1061" s="26"/>
      <c r="O1061" s="26"/>
      <c r="P1061" s="26"/>
      <c r="Q1061" s="26"/>
    </row>
    <row r="1062" ht="15.75" customHeight="1">
      <c r="A1062" s="31" t="s">
        <v>39</v>
      </c>
      <c r="B1062" s="9" t="s">
        <v>3177</v>
      </c>
      <c r="C1062" s="19" t="s">
        <v>3183</v>
      </c>
      <c r="D1062" s="22" t="s">
        <v>3184</v>
      </c>
      <c r="E1062" s="19" t="s">
        <v>115</v>
      </c>
      <c r="F1062" s="19" t="s">
        <v>3185</v>
      </c>
      <c r="G1062" s="19" t="s">
        <v>90</v>
      </c>
      <c r="H1062" s="22" t="s">
        <v>155</v>
      </c>
      <c r="I1062" s="25" t="s">
        <v>3186</v>
      </c>
      <c r="J1062" s="19" t="s">
        <v>95</v>
      </c>
      <c r="K1062" s="19" t="s">
        <v>78</v>
      </c>
      <c r="L1062" s="22"/>
      <c r="M1062" s="26"/>
      <c r="N1062" s="26"/>
      <c r="O1062" s="26"/>
      <c r="P1062" s="26"/>
      <c r="Q1062" s="26"/>
    </row>
    <row r="1063" ht="15.75" customHeight="1">
      <c r="A1063" s="31" t="s">
        <v>39</v>
      </c>
      <c r="B1063" s="9" t="s">
        <v>3177</v>
      </c>
      <c r="C1063" s="19" t="s">
        <v>201</v>
      </c>
      <c r="D1063" s="22" t="s">
        <v>3187</v>
      </c>
      <c r="E1063" s="19" t="s">
        <v>115</v>
      </c>
      <c r="F1063" s="19" t="s">
        <v>3188</v>
      </c>
      <c r="G1063" s="19" t="s">
        <v>90</v>
      </c>
      <c r="H1063" s="22" t="s">
        <v>155</v>
      </c>
      <c r="I1063" s="25" t="s">
        <v>2676</v>
      </c>
      <c r="J1063" s="19" t="s">
        <v>95</v>
      </c>
      <c r="K1063" s="19" t="s">
        <v>78</v>
      </c>
      <c r="L1063" s="22"/>
      <c r="M1063" s="26"/>
      <c r="N1063" s="26"/>
      <c r="O1063" s="26"/>
      <c r="P1063" s="26"/>
      <c r="Q1063" s="26"/>
    </row>
    <row r="1064" ht="15.75" customHeight="1">
      <c r="A1064" s="31" t="s">
        <v>39</v>
      </c>
      <c r="B1064" s="9" t="s">
        <v>3177</v>
      </c>
      <c r="C1064" s="19" t="s">
        <v>201</v>
      </c>
      <c r="D1064" s="22" t="s">
        <v>3189</v>
      </c>
      <c r="E1064" s="19" t="s">
        <v>115</v>
      </c>
      <c r="F1064" s="19" t="s">
        <v>3188</v>
      </c>
      <c r="G1064" s="19" t="s">
        <v>90</v>
      </c>
      <c r="H1064" s="22" t="s">
        <v>155</v>
      </c>
      <c r="I1064" s="25" t="s">
        <v>2676</v>
      </c>
      <c r="J1064" s="19" t="s">
        <v>95</v>
      </c>
      <c r="K1064" s="19" t="s">
        <v>78</v>
      </c>
      <c r="L1064" s="22"/>
      <c r="M1064" s="26"/>
      <c r="N1064" s="26"/>
      <c r="O1064" s="26"/>
      <c r="P1064" s="26"/>
      <c r="Q1064" s="26"/>
    </row>
    <row r="1065" ht="15.75" customHeight="1">
      <c r="A1065" s="31" t="s">
        <v>39</v>
      </c>
      <c r="B1065" s="9" t="s">
        <v>3177</v>
      </c>
      <c r="C1065" s="19" t="s">
        <v>201</v>
      </c>
      <c r="D1065" s="22" t="s">
        <v>3190</v>
      </c>
      <c r="E1065" s="19" t="s">
        <v>115</v>
      </c>
      <c r="F1065" s="19" t="s">
        <v>3188</v>
      </c>
      <c r="G1065" s="19" t="s">
        <v>90</v>
      </c>
      <c r="H1065" s="22" t="s">
        <v>155</v>
      </c>
      <c r="I1065" s="25" t="s">
        <v>2676</v>
      </c>
      <c r="J1065" s="19" t="s">
        <v>95</v>
      </c>
      <c r="K1065" s="19" t="s">
        <v>78</v>
      </c>
      <c r="L1065" s="22"/>
      <c r="M1065" s="26"/>
      <c r="N1065" s="26"/>
      <c r="O1065" s="26"/>
      <c r="P1065" s="26"/>
      <c r="Q1065" s="26"/>
    </row>
    <row r="1066" ht="15.75" customHeight="1">
      <c r="A1066" s="31" t="s">
        <v>39</v>
      </c>
      <c r="B1066" s="9" t="s">
        <v>3177</v>
      </c>
      <c r="C1066" s="19" t="s">
        <v>201</v>
      </c>
      <c r="D1066" s="22" t="s">
        <v>3191</v>
      </c>
      <c r="E1066" s="19" t="s">
        <v>115</v>
      </c>
      <c r="F1066" s="19" t="s">
        <v>2675</v>
      </c>
      <c r="G1066" s="19" t="s">
        <v>90</v>
      </c>
      <c r="H1066" s="22" t="s">
        <v>155</v>
      </c>
      <c r="I1066" s="25" t="s">
        <v>2856</v>
      </c>
      <c r="J1066" s="19" t="s">
        <v>319</v>
      </c>
      <c r="K1066" s="19" t="s">
        <v>213</v>
      </c>
      <c r="L1066" s="22" t="s">
        <v>2761</v>
      </c>
      <c r="M1066" s="26"/>
      <c r="N1066" s="26"/>
      <c r="O1066" s="26"/>
      <c r="P1066" s="26"/>
      <c r="Q1066" s="26"/>
    </row>
    <row r="1067" ht="15.75" hidden="1" customHeight="1">
      <c r="A1067" s="31" t="s">
        <v>39</v>
      </c>
      <c r="B1067" s="9" t="s">
        <v>3192</v>
      </c>
      <c r="C1067" s="19" t="s">
        <v>3193</v>
      </c>
      <c r="D1067" s="22" t="s">
        <v>2799</v>
      </c>
      <c r="E1067" s="19" t="s">
        <v>109</v>
      </c>
      <c r="F1067" s="19" t="s">
        <v>3194</v>
      </c>
      <c r="G1067" s="19" t="s">
        <v>57</v>
      </c>
      <c r="H1067" s="22" t="s">
        <v>155</v>
      </c>
      <c r="I1067" s="25" t="s">
        <v>3195</v>
      </c>
      <c r="J1067" s="19"/>
      <c r="K1067" s="19" t="s">
        <v>105</v>
      </c>
      <c r="L1067" s="22"/>
      <c r="M1067" s="26"/>
      <c r="N1067" s="26"/>
      <c r="O1067" s="26"/>
      <c r="P1067" s="26"/>
      <c r="Q1067" s="26"/>
    </row>
    <row r="1068" ht="15.75" hidden="1" customHeight="1">
      <c r="A1068" s="31" t="s">
        <v>39</v>
      </c>
      <c r="B1068" s="9" t="s">
        <v>3192</v>
      </c>
      <c r="C1068" s="19" t="s">
        <v>3196</v>
      </c>
      <c r="D1068" s="22" t="s">
        <v>3197</v>
      </c>
      <c r="E1068" s="19" t="s">
        <v>109</v>
      </c>
      <c r="F1068" s="19" t="s">
        <v>1382</v>
      </c>
      <c r="G1068" s="19" t="s">
        <v>146</v>
      </c>
      <c r="H1068" s="22" t="s">
        <v>155</v>
      </c>
      <c r="I1068" s="25" t="s">
        <v>3198</v>
      </c>
      <c r="J1068" s="19"/>
      <c r="K1068" s="19" t="s">
        <v>99</v>
      </c>
      <c r="L1068" s="22" t="s">
        <v>1567</v>
      </c>
      <c r="M1068" s="26"/>
      <c r="N1068" s="26"/>
      <c r="O1068" s="26"/>
      <c r="P1068" s="26"/>
      <c r="Q1068" s="26"/>
    </row>
    <row r="1069" ht="15.75" hidden="1" customHeight="1">
      <c r="A1069" s="31" t="s">
        <v>39</v>
      </c>
      <c r="B1069" s="9" t="s">
        <v>3192</v>
      </c>
      <c r="C1069" s="19" t="s">
        <v>3196</v>
      </c>
      <c r="D1069" s="22" t="s">
        <v>3199</v>
      </c>
      <c r="E1069" s="19" t="s">
        <v>109</v>
      </c>
      <c r="F1069" s="19" t="s">
        <v>1382</v>
      </c>
      <c r="G1069" s="19" t="s">
        <v>146</v>
      </c>
      <c r="H1069" s="22" t="s">
        <v>155</v>
      </c>
      <c r="I1069" s="25" t="s">
        <v>3200</v>
      </c>
      <c r="J1069" s="19"/>
      <c r="K1069" s="19" t="s">
        <v>99</v>
      </c>
      <c r="L1069" s="22" t="s">
        <v>1567</v>
      </c>
      <c r="M1069" s="26"/>
      <c r="N1069" s="26"/>
      <c r="O1069" s="26"/>
      <c r="P1069" s="26"/>
      <c r="Q1069" s="26"/>
    </row>
    <row r="1070" ht="15.75" hidden="1" customHeight="1">
      <c r="A1070" s="31" t="s">
        <v>39</v>
      </c>
      <c r="B1070" s="9" t="s">
        <v>3192</v>
      </c>
      <c r="C1070" s="19" t="s">
        <v>3196</v>
      </c>
      <c r="D1070" s="22" t="s">
        <v>1362</v>
      </c>
      <c r="E1070" s="19" t="s">
        <v>109</v>
      </c>
      <c r="F1070" s="19" t="s">
        <v>135</v>
      </c>
      <c r="G1070" s="19" t="s">
        <v>146</v>
      </c>
      <c r="H1070" s="22" t="s">
        <v>155</v>
      </c>
      <c r="I1070" s="25" t="s">
        <v>3201</v>
      </c>
      <c r="J1070" s="19"/>
      <c r="K1070" s="19" t="s">
        <v>100</v>
      </c>
      <c r="L1070" s="22"/>
      <c r="M1070" s="26"/>
      <c r="N1070" s="26"/>
      <c r="O1070" s="26"/>
      <c r="P1070" s="26"/>
      <c r="Q1070" s="26"/>
    </row>
    <row r="1071" ht="15.75" hidden="1" customHeight="1">
      <c r="A1071" s="31" t="s">
        <v>39</v>
      </c>
      <c r="B1071" s="9" t="s">
        <v>3192</v>
      </c>
      <c r="C1071" s="19" t="s">
        <v>3196</v>
      </c>
      <c r="D1071" s="22" t="s">
        <v>3202</v>
      </c>
      <c r="E1071" s="19" t="s">
        <v>109</v>
      </c>
      <c r="F1071" s="19" t="s">
        <v>1382</v>
      </c>
      <c r="G1071" s="19" t="s">
        <v>146</v>
      </c>
      <c r="H1071" s="22" t="s">
        <v>155</v>
      </c>
      <c r="I1071" s="25" t="s">
        <v>3203</v>
      </c>
      <c r="J1071" s="19" t="s">
        <v>663</v>
      </c>
      <c r="K1071" s="19" t="s">
        <v>94</v>
      </c>
      <c r="L1071" s="22"/>
      <c r="M1071" s="26"/>
      <c r="N1071" s="26"/>
      <c r="O1071" s="26"/>
      <c r="P1071" s="26"/>
      <c r="Q1071" s="26"/>
    </row>
    <row r="1072" ht="15.75" hidden="1" customHeight="1">
      <c r="A1072" s="31" t="s">
        <v>39</v>
      </c>
      <c r="B1072" s="9" t="s">
        <v>3192</v>
      </c>
      <c r="C1072" s="19" t="s">
        <v>3204</v>
      </c>
      <c r="D1072" s="22" t="s">
        <v>3205</v>
      </c>
      <c r="E1072" s="19" t="s">
        <v>109</v>
      </c>
      <c r="F1072" s="19" t="s">
        <v>631</v>
      </c>
      <c r="G1072" s="19" t="s">
        <v>57</v>
      </c>
      <c r="H1072" s="22" t="s">
        <v>155</v>
      </c>
      <c r="I1072" s="25" t="s">
        <v>3206</v>
      </c>
      <c r="J1072" s="19" t="s">
        <v>337</v>
      </c>
      <c r="K1072" s="19" t="s">
        <v>110</v>
      </c>
      <c r="L1072" s="22"/>
      <c r="M1072" s="26"/>
      <c r="N1072" s="26"/>
      <c r="O1072" s="26"/>
      <c r="P1072" s="26"/>
      <c r="Q1072" s="26"/>
    </row>
    <row r="1073" ht="15.75" hidden="1" customHeight="1">
      <c r="A1073" s="31" t="s">
        <v>39</v>
      </c>
      <c r="B1073" s="9" t="s">
        <v>3192</v>
      </c>
      <c r="C1073" s="19" t="s">
        <v>3207</v>
      </c>
      <c r="D1073" s="22" t="s">
        <v>3208</v>
      </c>
      <c r="E1073" s="19" t="s">
        <v>109</v>
      </c>
      <c r="F1073" s="19" t="s">
        <v>241</v>
      </c>
      <c r="G1073" s="19" t="s">
        <v>57</v>
      </c>
      <c r="H1073" s="22" t="s">
        <v>155</v>
      </c>
      <c r="I1073" s="25" t="s">
        <v>3209</v>
      </c>
      <c r="J1073" s="19" t="s">
        <v>3210</v>
      </c>
      <c r="K1073" s="19" t="s">
        <v>94</v>
      </c>
      <c r="L1073" s="22"/>
      <c r="M1073" s="26"/>
      <c r="N1073" s="26"/>
      <c r="O1073" s="26"/>
      <c r="P1073" s="26"/>
      <c r="Q1073" s="26"/>
    </row>
    <row r="1074" ht="15.75" hidden="1" customHeight="1">
      <c r="A1074" s="31" t="s">
        <v>39</v>
      </c>
      <c r="B1074" s="9" t="s">
        <v>3192</v>
      </c>
      <c r="C1074" s="19" t="s">
        <v>3207</v>
      </c>
      <c r="D1074" s="22" t="s">
        <v>3211</v>
      </c>
      <c r="E1074" s="19" t="s">
        <v>109</v>
      </c>
      <c r="F1074" s="19" t="s">
        <v>631</v>
      </c>
      <c r="G1074" s="19" t="s">
        <v>57</v>
      </c>
      <c r="H1074" s="22" t="s">
        <v>155</v>
      </c>
      <c r="I1074" s="25" t="s">
        <v>3212</v>
      </c>
      <c r="J1074" s="19" t="s">
        <v>3213</v>
      </c>
      <c r="K1074" s="19" t="s">
        <v>94</v>
      </c>
      <c r="L1074" s="22"/>
      <c r="M1074" s="26"/>
      <c r="N1074" s="26"/>
      <c r="O1074" s="26"/>
      <c r="P1074" s="26"/>
      <c r="Q1074" s="26"/>
    </row>
    <row r="1075" ht="15.75" hidden="1" customHeight="1">
      <c r="A1075" s="31" t="s">
        <v>39</v>
      </c>
      <c r="B1075" s="9" t="s">
        <v>3192</v>
      </c>
      <c r="C1075" s="19" t="s">
        <v>3207</v>
      </c>
      <c r="D1075" s="22" t="s">
        <v>3214</v>
      </c>
      <c r="E1075" s="19" t="s">
        <v>109</v>
      </c>
      <c r="F1075" s="19" t="s">
        <v>631</v>
      </c>
      <c r="G1075" s="19" t="s">
        <v>57</v>
      </c>
      <c r="H1075" s="22" t="s">
        <v>155</v>
      </c>
      <c r="I1075" s="25" t="s">
        <v>3215</v>
      </c>
      <c r="J1075" s="19" t="s">
        <v>3216</v>
      </c>
      <c r="K1075" s="19" t="s">
        <v>94</v>
      </c>
      <c r="L1075" s="22"/>
      <c r="M1075" s="26"/>
      <c r="N1075" s="26"/>
      <c r="O1075" s="26"/>
      <c r="P1075" s="26"/>
      <c r="Q1075" s="26"/>
    </row>
    <row r="1076" ht="15.75" hidden="1" customHeight="1">
      <c r="A1076" s="31" t="s">
        <v>39</v>
      </c>
      <c r="B1076" s="9" t="s">
        <v>3192</v>
      </c>
      <c r="C1076" s="19" t="s">
        <v>3207</v>
      </c>
      <c r="D1076" s="22" t="s">
        <v>3217</v>
      </c>
      <c r="E1076" s="19" t="s">
        <v>109</v>
      </c>
      <c r="F1076" s="19" t="s">
        <v>241</v>
      </c>
      <c r="G1076" s="19" t="s">
        <v>57</v>
      </c>
      <c r="H1076" s="22" t="s">
        <v>155</v>
      </c>
      <c r="I1076" s="25" t="s">
        <v>3218</v>
      </c>
      <c r="J1076" s="19" t="s">
        <v>3213</v>
      </c>
      <c r="K1076" s="19" t="s">
        <v>94</v>
      </c>
      <c r="L1076" s="22"/>
      <c r="M1076" s="26"/>
      <c r="N1076" s="26"/>
      <c r="O1076" s="26"/>
      <c r="P1076" s="26"/>
      <c r="Q1076" s="26"/>
    </row>
    <row r="1077" ht="15.75" hidden="1" customHeight="1">
      <c r="A1077" s="31" t="s">
        <v>39</v>
      </c>
      <c r="B1077" s="9" t="s">
        <v>3192</v>
      </c>
      <c r="C1077" s="19" t="s">
        <v>3219</v>
      </c>
      <c r="D1077" s="22" t="s">
        <v>656</v>
      </c>
      <c r="E1077" s="19" t="s">
        <v>109</v>
      </c>
      <c r="F1077" s="19" t="s">
        <v>631</v>
      </c>
      <c r="G1077" s="19" t="s">
        <v>57</v>
      </c>
      <c r="H1077" s="22" t="s">
        <v>155</v>
      </c>
      <c r="I1077" s="25" t="s">
        <v>3220</v>
      </c>
      <c r="J1077" s="19" t="s">
        <v>1435</v>
      </c>
      <c r="K1077" s="19" t="s">
        <v>110</v>
      </c>
      <c r="L1077" s="22"/>
      <c r="M1077" s="26"/>
      <c r="N1077" s="26"/>
      <c r="O1077" s="26"/>
      <c r="P1077" s="26"/>
      <c r="Q1077" s="26"/>
    </row>
    <row r="1078" ht="15.75" hidden="1" customHeight="1">
      <c r="A1078" s="31" t="s">
        <v>39</v>
      </c>
      <c r="B1078" s="9" t="s">
        <v>3192</v>
      </c>
      <c r="C1078" s="19" t="s">
        <v>3221</v>
      </c>
      <c r="D1078" s="22" t="s">
        <v>3222</v>
      </c>
      <c r="E1078" s="19" t="s">
        <v>109</v>
      </c>
      <c r="F1078" s="19" t="s">
        <v>631</v>
      </c>
      <c r="G1078" s="19" t="s">
        <v>57</v>
      </c>
      <c r="H1078" s="22" t="s">
        <v>155</v>
      </c>
      <c r="I1078" s="25" t="s">
        <v>3223</v>
      </c>
      <c r="J1078" s="19" t="s">
        <v>1371</v>
      </c>
      <c r="K1078" s="19" t="s">
        <v>105</v>
      </c>
      <c r="L1078" s="22"/>
      <c r="M1078" s="26"/>
      <c r="N1078" s="26"/>
      <c r="O1078" s="26"/>
      <c r="P1078" s="26"/>
      <c r="Q1078" s="26"/>
    </row>
    <row r="1079" ht="15.75" hidden="1" customHeight="1">
      <c r="A1079" s="31" t="s">
        <v>39</v>
      </c>
      <c r="B1079" s="9" t="s">
        <v>3192</v>
      </c>
      <c r="C1079" s="19" t="s">
        <v>3224</v>
      </c>
      <c r="D1079" s="22" t="s">
        <v>656</v>
      </c>
      <c r="E1079" s="19" t="s">
        <v>109</v>
      </c>
      <c r="F1079" s="19" t="s">
        <v>2201</v>
      </c>
      <c r="G1079" s="19" t="s">
        <v>57</v>
      </c>
      <c r="H1079" s="22" t="s">
        <v>155</v>
      </c>
      <c r="I1079" s="25" t="s">
        <v>3225</v>
      </c>
      <c r="J1079" s="19" t="s">
        <v>490</v>
      </c>
      <c r="K1079" s="19" t="s">
        <v>110</v>
      </c>
      <c r="L1079" s="22"/>
      <c r="M1079" s="26"/>
      <c r="N1079" s="26"/>
      <c r="O1079" s="26"/>
      <c r="P1079" s="26"/>
      <c r="Q1079" s="26"/>
    </row>
    <row r="1080" ht="15.75" hidden="1" customHeight="1">
      <c r="A1080" s="31" t="s">
        <v>39</v>
      </c>
      <c r="B1080" s="9" t="s">
        <v>3192</v>
      </c>
      <c r="C1080" s="19" t="s">
        <v>3226</v>
      </c>
      <c r="D1080" s="22" t="s">
        <v>3227</v>
      </c>
      <c r="E1080" s="19" t="s">
        <v>109</v>
      </c>
      <c r="F1080" s="19" t="s">
        <v>494</v>
      </c>
      <c r="G1080" s="19" t="s">
        <v>57</v>
      </c>
      <c r="H1080" s="22" t="s">
        <v>155</v>
      </c>
      <c r="I1080" s="25" t="s">
        <v>3228</v>
      </c>
      <c r="J1080" s="19" t="s">
        <v>456</v>
      </c>
      <c r="K1080" s="19" t="s">
        <v>78</v>
      </c>
      <c r="L1080" s="22"/>
      <c r="M1080" s="26"/>
      <c r="N1080" s="26"/>
      <c r="O1080" s="26"/>
      <c r="P1080" s="26"/>
      <c r="Q1080" s="26"/>
    </row>
    <row r="1081" ht="15.75" hidden="1" customHeight="1">
      <c r="A1081" s="31" t="s">
        <v>39</v>
      </c>
      <c r="B1081" s="9" t="s">
        <v>3192</v>
      </c>
      <c r="C1081" s="19" t="s">
        <v>3229</v>
      </c>
      <c r="D1081" s="22" t="s">
        <v>3230</v>
      </c>
      <c r="E1081" s="19" t="s">
        <v>109</v>
      </c>
      <c r="F1081" s="19" t="s">
        <v>1033</v>
      </c>
      <c r="G1081" s="19" t="s">
        <v>57</v>
      </c>
      <c r="H1081" s="22" t="s">
        <v>155</v>
      </c>
      <c r="I1081" s="25" t="s">
        <v>3231</v>
      </c>
      <c r="J1081" s="19" t="s">
        <v>1445</v>
      </c>
      <c r="K1081" s="19" t="s">
        <v>110</v>
      </c>
      <c r="L1081" s="22"/>
      <c r="M1081" s="26"/>
      <c r="N1081" s="26"/>
      <c r="O1081" s="26"/>
      <c r="P1081" s="26"/>
      <c r="Q1081" s="26"/>
    </row>
    <row r="1082" ht="15.75" hidden="1" customHeight="1">
      <c r="A1082" s="31" t="s">
        <v>39</v>
      </c>
      <c r="B1082" s="9" t="s">
        <v>3192</v>
      </c>
      <c r="C1082" s="19" t="s">
        <v>3232</v>
      </c>
      <c r="D1082" s="22" t="s">
        <v>3233</v>
      </c>
      <c r="E1082" s="19" t="s">
        <v>109</v>
      </c>
      <c r="F1082" s="19" t="s">
        <v>2221</v>
      </c>
      <c r="G1082" s="19" t="s">
        <v>57</v>
      </c>
      <c r="H1082" s="22" t="s">
        <v>155</v>
      </c>
      <c r="I1082" s="25" t="s">
        <v>3234</v>
      </c>
      <c r="J1082" s="19" t="s">
        <v>1445</v>
      </c>
      <c r="K1082" s="19" t="s">
        <v>110</v>
      </c>
      <c r="L1082" s="22"/>
      <c r="M1082" s="26"/>
      <c r="N1082" s="26"/>
      <c r="O1082" s="26"/>
      <c r="P1082" s="26"/>
      <c r="Q1082" s="26"/>
    </row>
    <row r="1083" ht="15.75" hidden="1" customHeight="1">
      <c r="A1083" s="31" t="s">
        <v>39</v>
      </c>
      <c r="B1083" s="9" t="s">
        <v>3192</v>
      </c>
      <c r="C1083" s="19" t="s">
        <v>3235</v>
      </c>
      <c r="D1083" s="22" t="s">
        <v>3236</v>
      </c>
      <c r="E1083" s="19" t="s">
        <v>109</v>
      </c>
      <c r="F1083" s="19" t="s">
        <v>3237</v>
      </c>
      <c r="G1083" s="19" t="s">
        <v>57</v>
      </c>
      <c r="H1083" s="22" t="s">
        <v>155</v>
      </c>
      <c r="I1083" s="25" t="s">
        <v>3238</v>
      </c>
      <c r="J1083" s="19" t="s">
        <v>3239</v>
      </c>
      <c r="K1083" s="19" t="s">
        <v>94</v>
      </c>
      <c r="L1083" s="22"/>
      <c r="M1083" s="26"/>
      <c r="N1083" s="26"/>
      <c r="O1083" s="26"/>
      <c r="P1083" s="26"/>
      <c r="Q1083" s="26"/>
    </row>
    <row r="1084" ht="15.75" hidden="1" customHeight="1">
      <c r="A1084" s="31" t="s">
        <v>39</v>
      </c>
      <c r="B1084" s="9" t="s">
        <v>3192</v>
      </c>
      <c r="C1084" s="19" t="s">
        <v>3240</v>
      </c>
      <c r="D1084" s="22" t="s">
        <v>3241</v>
      </c>
      <c r="E1084" s="19" t="s">
        <v>109</v>
      </c>
      <c r="F1084" s="19" t="s">
        <v>631</v>
      </c>
      <c r="G1084" s="19" t="s">
        <v>57</v>
      </c>
      <c r="H1084" s="22" t="s">
        <v>155</v>
      </c>
      <c r="I1084" s="25" t="s">
        <v>3242</v>
      </c>
      <c r="J1084" s="19" t="s">
        <v>1445</v>
      </c>
      <c r="K1084" s="19" t="s">
        <v>110</v>
      </c>
      <c r="L1084" s="22"/>
      <c r="M1084" s="26"/>
      <c r="N1084" s="26"/>
      <c r="O1084" s="26"/>
      <c r="P1084" s="26"/>
      <c r="Q1084" s="26"/>
    </row>
    <row r="1085" ht="15.75" hidden="1" customHeight="1">
      <c r="A1085" s="31" t="s">
        <v>39</v>
      </c>
      <c r="B1085" s="9" t="s">
        <v>3192</v>
      </c>
      <c r="C1085" s="19" t="s">
        <v>3240</v>
      </c>
      <c r="D1085" s="22" t="s">
        <v>656</v>
      </c>
      <c r="E1085" s="19" t="s">
        <v>109</v>
      </c>
      <c r="F1085" s="19" t="s">
        <v>631</v>
      </c>
      <c r="G1085" s="19" t="s">
        <v>57</v>
      </c>
      <c r="H1085" s="22" t="s">
        <v>155</v>
      </c>
      <c r="I1085" s="25" t="s">
        <v>3243</v>
      </c>
      <c r="J1085" s="19" t="s">
        <v>1445</v>
      </c>
      <c r="K1085" s="19" t="s">
        <v>110</v>
      </c>
      <c r="L1085" s="22"/>
      <c r="M1085" s="26"/>
      <c r="N1085" s="26"/>
      <c r="O1085" s="26"/>
      <c r="P1085" s="26"/>
      <c r="Q1085" s="26"/>
    </row>
    <row r="1086" ht="15.75" hidden="1" customHeight="1">
      <c r="A1086" s="31" t="s">
        <v>39</v>
      </c>
      <c r="B1086" s="9" t="s">
        <v>3192</v>
      </c>
      <c r="C1086" s="19" t="s">
        <v>3244</v>
      </c>
      <c r="D1086" s="22" t="s">
        <v>3245</v>
      </c>
      <c r="E1086" s="19" t="s">
        <v>109</v>
      </c>
      <c r="F1086" s="19" t="s">
        <v>631</v>
      </c>
      <c r="G1086" s="19" t="s">
        <v>57</v>
      </c>
      <c r="H1086" s="22" t="s">
        <v>155</v>
      </c>
      <c r="I1086" s="25" t="s">
        <v>3246</v>
      </c>
      <c r="J1086" s="19" t="s">
        <v>1445</v>
      </c>
      <c r="K1086" s="19" t="s">
        <v>110</v>
      </c>
      <c r="L1086" s="22"/>
      <c r="M1086" s="26"/>
      <c r="N1086" s="26"/>
      <c r="O1086" s="26"/>
      <c r="P1086" s="26"/>
      <c r="Q1086" s="26"/>
    </row>
    <row r="1087" ht="15.75" hidden="1" customHeight="1">
      <c r="A1087" s="31" t="s">
        <v>39</v>
      </c>
      <c r="B1087" s="9" t="s">
        <v>3192</v>
      </c>
      <c r="C1087" s="19" t="s">
        <v>3247</v>
      </c>
      <c r="D1087" s="22" t="s">
        <v>3248</v>
      </c>
      <c r="E1087" s="19" t="s">
        <v>109</v>
      </c>
      <c r="F1087" s="19" t="s">
        <v>3249</v>
      </c>
      <c r="G1087" s="19" t="s">
        <v>57</v>
      </c>
      <c r="H1087" s="22" t="s">
        <v>155</v>
      </c>
      <c r="I1087" s="25" t="s">
        <v>3250</v>
      </c>
      <c r="J1087" s="19" t="s">
        <v>1349</v>
      </c>
      <c r="K1087" s="19" t="s">
        <v>110</v>
      </c>
      <c r="L1087" s="22"/>
      <c r="M1087" s="26"/>
      <c r="N1087" s="26"/>
      <c r="O1087" s="26"/>
      <c r="P1087" s="26"/>
      <c r="Q1087" s="26"/>
    </row>
    <row r="1088" ht="15.75" hidden="1" customHeight="1">
      <c r="A1088" s="31" t="s">
        <v>39</v>
      </c>
      <c r="B1088" s="9" t="s">
        <v>3192</v>
      </c>
      <c r="C1088" s="19" t="s">
        <v>3251</v>
      </c>
      <c r="D1088" s="22" t="s">
        <v>2780</v>
      </c>
      <c r="E1088" s="19" t="s">
        <v>109</v>
      </c>
      <c r="F1088" s="19" t="s">
        <v>631</v>
      </c>
      <c r="G1088" s="19" t="s">
        <v>57</v>
      </c>
      <c r="H1088" s="22" t="s">
        <v>155</v>
      </c>
      <c r="I1088" s="25" t="s">
        <v>3252</v>
      </c>
      <c r="J1088" s="19" t="s">
        <v>1445</v>
      </c>
      <c r="K1088" s="19" t="s">
        <v>110</v>
      </c>
      <c r="L1088" s="22"/>
      <c r="M1088" s="26"/>
      <c r="N1088" s="26"/>
      <c r="O1088" s="26"/>
      <c r="P1088" s="26"/>
      <c r="Q1088" s="26"/>
    </row>
    <row r="1089" ht="15.75" hidden="1" customHeight="1">
      <c r="A1089" s="31" t="s">
        <v>39</v>
      </c>
      <c r="B1089" s="9" t="s">
        <v>3192</v>
      </c>
      <c r="C1089" s="19" t="s">
        <v>1431</v>
      </c>
      <c r="D1089" s="22" t="s">
        <v>3253</v>
      </c>
      <c r="E1089" s="19" t="s">
        <v>109</v>
      </c>
      <c r="F1089" s="19" t="s">
        <v>1433</v>
      </c>
      <c r="G1089" s="19" t="s">
        <v>57</v>
      </c>
      <c r="H1089" s="22" t="s">
        <v>155</v>
      </c>
      <c r="I1089" s="25" t="s">
        <v>3254</v>
      </c>
      <c r="J1089" s="19" t="s">
        <v>140</v>
      </c>
      <c r="K1089" s="19" t="s">
        <v>143</v>
      </c>
      <c r="L1089" s="22" t="s">
        <v>3255</v>
      </c>
      <c r="M1089" s="26"/>
      <c r="N1089" s="26"/>
      <c r="O1089" s="26"/>
      <c r="P1089" s="26"/>
      <c r="Q1089" s="26"/>
    </row>
    <row r="1090" ht="15.75" hidden="1" customHeight="1">
      <c r="A1090" s="31" t="s">
        <v>39</v>
      </c>
      <c r="B1090" s="9" t="s">
        <v>3192</v>
      </c>
      <c r="C1090" s="19" t="s">
        <v>3014</v>
      </c>
      <c r="D1090" s="22" t="s">
        <v>3256</v>
      </c>
      <c r="E1090" s="19" t="s">
        <v>109</v>
      </c>
      <c r="F1090" s="19" t="s">
        <v>3019</v>
      </c>
      <c r="G1090" s="19" t="s">
        <v>146</v>
      </c>
      <c r="H1090" s="22" t="s">
        <v>155</v>
      </c>
      <c r="I1090" s="25" t="s">
        <v>3257</v>
      </c>
      <c r="J1090" s="19"/>
      <c r="K1090" s="19" t="s">
        <v>100</v>
      </c>
      <c r="L1090" s="22"/>
      <c r="M1090" s="26"/>
      <c r="N1090" s="26"/>
      <c r="O1090" s="26"/>
      <c r="P1090" s="26"/>
      <c r="Q1090" s="26"/>
    </row>
    <row r="1091" ht="15.75" hidden="1" customHeight="1">
      <c r="A1091" s="31" t="s">
        <v>39</v>
      </c>
      <c r="B1091" s="9" t="s">
        <v>3192</v>
      </c>
      <c r="C1091" s="19" t="s">
        <v>3258</v>
      </c>
      <c r="D1091" s="22" t="s">
        <v>3259</v>
      </c>
      <c r="E1091" s="19" t="s">
        <v>109</v>
      </c>
      <c r="F1091" s="19" t="s">
        <v>3260</v>
      </c>
      <c r="G1091" s="19" t="s">
        <v>57</v>
      </c>
      <c r="H1091" s="22" t="s">
        <v>155</v>
      </c>
      <c r="I1091" s="25" t="s">
        <v>3261</v>
      </c>
      <c r="J1091" s="19" t="s">
        <v>140</v>
      </c>
      <c r="K1091" s="19" t="s">
        <v>110</v>
      </c>
      <c r="L1091" s="22"/>
      <c r="M1091" s="26"/>
      <c r="N1091" s="26"/>
      <c r="O1091" s="26"/>
      <c r="P1091" s="26"/>
      <c r="Q1091" s="26"/>
    </row>
    <row r="1092" ht="15.75" hidden="1" customHeight="1">
      <c r="A1092" s="31" t="s">
        <v>39</v>
      </c>
      <c r="B1092" s="9" t="s">
        <v>3192</v>
      </c>
      <c r="C1092" s="19" t="s">
        <v>3262</v>
      </c>
      <c r="D1092" s="22" t="s">
        <v>3263</v>
      </c>
      <c r="E1092" s="19" t="s">
        <v>109</v>
      </c>
      <c r="F1092" s="19" t="s">
        <v>631</v>
      </c>
      <c r="G1092" s="19" t="s">
        <v>57</v>
      </c>
      <c r="H1092" s="22" t="s">
        <v>155</v>
      </c>
      <c r="I1092" s="25" t="s">
        <v>3264</v>
      </c>
      <c r="J1092" s="19" t="s">
        <v>1217</v>
      </c>
      <c r="K1092" s="19" t="s">
        <v>110</v>
      </c>
      <c r="L1092" s="22"/>
      <c r="M1092" s="26"/>
      <c r="N1092" s="26"/>
      <c r="O1092" s="26"/>
      <c r="P1092" s="26"/>
      <c r="Q1092" s="26"/>
    </row>
    <row r="1093" ht="15.75" hidden="1" customHeight="1">
      <c r="A1093" s="31" t="s">
        <v>39</v>
      </c>
      <c r="B1093" s="9" t="s">
        <v>3192</v>
      </c>
      <c r="C1093" s="19" t="s">
        <v>3265</v>
      </c>
      <c r="D1093" s="22" t="s">
        <v>3266</v>
      </c>
      <c r="E1093" s="19" t="s">
        <v>109</v>
      </c>
      <c r="F1093" s="19" t="s">
        <v>2221</v>
      </c>
      <c r="G1093" s="19" t="s">
        <v>57</v>
      </c>
      <c r="H1093" s="22" t="s">
        <v>155</v>
      </c>
      <c r="I1093" s="25" t="s">
        <v>3267</v>
      </c>
      <c r="J1093" s="19"/>
      <c r="K1093" s="19" t="s">
        <v>74</v>
      </c>
      <c r="L1093" s="22"/>
      <c r="M1093" s="26"/>
      <c r="N1093" s="26"/>
      <c r="O1093" s="26"/>
      <c r="P1093" s="26"/>
      <c r="Q1093" s="26"/>
    </row>
    <row r="1094" ht="15.75" hidden="1" customHeight="1">
      <c r="A1094" s="31" t="s">
        <v>39</v>
      </c>
      <c r="B1094" s="9" t="s">
        <v>3192</v>
      </c>
      <c r="C1094" s="19" t="s">
        <v>3265</v>
      </c>
      <c r="D1094" s="22" t="s">
        <v>3268</v>
      </c>
      <c r="E1094" s="19" t="s">
        <v>109</v>
      </c>
      <c r="F1094" s="19" t="s">
        <v>2221</v>
      </c>
      <c r="G1094" s="19" t="s">
        <v>57</v>
      </c>
      <c r="H1094" s="22" t="s">
        <v>155</v>
      </c>
      <c r="I1094" s="25" t="s">
        <v>3269</v>
      </c>
      <c r="J1094" s="19"/>
      <c r="K1094" s="19" t="s">
        <v>74</v>
      </c>
      <c r="L1094" s="22"/>
      <c r="M1094" s="26"/>
      <c r="N1094" s="26"/>
      <c r="O1094" s="26"/>
      <c r="P1094" s="26"/>
      <c r="Q1094" s="26"/>
    </row>
    <row r="1095" ht="15.75" hidden="1" customHeight="1">
      <c r="A1095" s="31" t="s">
        <v>39</v>
      </c>
      <c r="B1095" s="9" t="s">
        <v>3192</v>
      </c>
      <c r="C1095" s="19" t="s">
        <v>3265</v>
      </c>
      <c r="D1095" s="22" t="s">
        <v>3270</v>
      </c>
      <c r="E1095" s="19" t="s">
        <v>109</v>
      </c>
      <c r="F1095" s="19" t="s">
        <v>2221</v>
      </c>
      <c r="G1095" s="19" t="s">
        <v>57</v>
      </c>
      <c r="H1095" s="22" t="s">
        <v>155</v>
      </c>
      <c r="I1095" s="25" t="s">
        <v>3271</v>
      </c>
      <c r="J1095" s="19"/>
      <c r="K1095" s="19" t="s">
        <v>74</v>
      </c>
      <c r="L1095" s="22"/>
      <c r="M1095" s="26"/>
      <c r="N1095" s="26"/>
      <c r="O1095" s="26"/>
      <c r="P1095" s="26"/>
      <c r="Q1095" s="26"/>
    </row>
    <row r="1096" ht="15.75" hidden="1" customHeight="1">
      <c r="A1096" s="31" t="s">
        <v>39</v>
      </c>
      <c r="B1096" s="9" t="s">
        <v>3192</v>
      </c>
      <c r="C1096" s="19" t="s">
        <v>3265</v>
      </c>
      <c r="D1096" s="22" t="s">
        <v>3272</v>
      </c>
      <c r="E1096" s="19" t="s">
        <v>109</v>
      </c>
      <c r="F1096" s="19" t="s">
        <v>2221</v>
      </c>
      <c r="G1096" s="19" t="s">
        <v>57</v>
      </c>
      <c r="H1096" s="22" t="s">
        <v>155</v>
      </c>
      <c r="I1096" s="25" t="s">
        <v>3273</v>
      </c>
      <c r="J1096" s="19"/>
      <c r="K1096" s="19" t="s">
        <v>74</v>
      </c>
      <c r="L1096" s="22"/>
      <c r="M1096" s="26"/>
      <c r="N1096" s="26"/>
      <c r="O1096" s="26"/>
      <c r="P1096" s="26"/>
      <c r="Q1096" s="26"/>
    </row>
    <row r="1097" ht="15.75" hidden="1" customHeight="1">
      <c r="A1097" s="31" t="s">
        <v>39</v>
      </c>
      <c r="B1097" s="9" t="s">
        <v>3192</v>
      </c>
      <c r="C1097" s="19" t="s">
        <v>3265</v>
      </c>
      <c r="D1097" s="22" t="s">
        <v>3274</v>
      </c>
      <c r="E1097" s="19" t="s">
        <v>109</v>
      </c>
      <c r="F1097" s="19" t="s">
        <v>2221</v>
      </c>
      <c r="G1097" s="19" t="s">
        <v>57</v>
      </c>
      <c r="H1097" s="22" t="s">
        <v>155</v>
      </c>
      <c r="I1097" s="25" t="s">
        <v>3275</v>
      </c>
      <c r="J1097" s="19"/>
      <c r="K1097" s="19" t="s">
        <v>74</v>
      </c>
      <c r="L1097" s="22"/>
      <c r="M1097" s="26"/>
      <c r="N1097" s="26"/>
      <c r="O1097" s="26"/>
      <c r="P1097" s="26"/>
      <c r="Q1097" s="26"/>
    </row>
    <row r="1098" ht="15.75" hidden="1" customHeight="1">
      <c r="A1098" s="31" t="s">
        <v>39</v>
      </c>
      <c r="B1098" s="9" t="s">
        <v>3192</v>
      </c>
      <c r="C1098" s="19" t="s">
        <v>3265</v>
      </c>
      <c r="D1098" s="22" t="s">
        <v>3276</v>
      </c>
      <c r="E1098" s="19" t="s">
        <v>109</v>
      </c>
      <c r="F1098" s="19" t="s">
        <v>2221</v>
      </c>
      <c r="G1098" s="19" t="s">
        <v>57</v>
      </c>
      <c r="H1098" s="22" t="s">
        <v>155</v>
      </c>
      <c r="I1098" s="25" t="s">
        <v>3277</v>
      </c>
      <c r="J1098" s="19"/>
      <c r="K1098" s="19" t="s">
        <v>74</v>
      </c>
      <c r="L1098" s="22"/>
      <c r="M1098" s="26"/>
      <c r="N1098" s="26"/>
      <c r="O1098" s="26"/>
      <c r="P1098" s="26"/>
      <c r="Q1098" s="26"/>
    </row>
    <row r="1099" ht="15.75" hidden="1" customHeight="1">
      <c r="A1099" s="31" t="s">
        <v>39</v>
      </c>
      <c r="B1099" s="9" t="s">
        <v>3192</v>
      </c>
      <c r="C1099" s="19" t="s">
        <v>2915</v>
      </c>
      <c r="D1099" s="22" t="s">
        <v>3278</v>
      </c>
      <c r="E1099" s="19" t="s">
        <v>109</v>
      </c>
      <c r="F1099" s="19" t="s">
        <v>858</v>
      </c>
      <c r="G1099" s="19" t="s">
        <v>57</v>
      </c>
      <c r="H1099" s="22" t="s">
        <v>155</v>
      </c>
      <c r="I1099" s="25" t="s">
        <v>3279</v>
      </c>
      <c r="J1099" s="19" t="s">
        <v>1445</v>
      </c>
      <c r="K1099" s="19" t="s">
        <v>110</v>
      </c>
      <c r="L1099" s="22"/>
      <c r="M1099" s="26"/>
      <c r="N1099" s="26"/>
      <c r="O1099" s="26"/>
      <c r="P1099" s="26"/>
      <c r="Q1099" s="26"/>
    </row>
    <row r="1100" ht="15.75" hidden="1" customHeight="1">
      <c r="A1100" s="31" t="s">
        <v>39</v>
      </c>
      <c r="B1100" s="9" t="s">
        <v>3192</v>
      </c>
      <c r="C1100" s="19" t="s">
        <v>3280</v>
      </c>
      <c r="D1100" s="22" t="s">
        <v>2767</v>
      </c>
      <c r="E1100" s="19" t="s">
        <v>109</v>
      </c>
      <c r="F1100" s="19" t="s">
        <v>494</v>
      </c>
      <c r="G1100" s="19" t="s">
        <v>57</v>
      </c>
      <c r="H1100" s="22" t="s">
        <v>155</v>
      </c>
      <c r="I1100" s="25" t="s">
        <v>3281</v>
      </c>
      <c r="J1100" s="19" t="s">
        <v>1211</v>
      </c>
      <c r="K1100" s="19" t="s">
        <v>110</v>
      </c>
      <c r="L1100" s="22"/>
      <c r="M1100" s="26"/>
      <c r="N1100" s="26"/>
      <c r="O1100" s="26"/>
      <c r="P1100" s="26"/>
      <c r="Q1100" s="26"/>
    </row>
    <row r="1101" ht="15.75" hidden="1" customHeight="1">
      <c r="A1101" s="31" t="s">
        <v>39</v>
      </c>
      <c r="B1101" s="9" t="s">
        <v>3192</v>
      </c>
      <c r="C1101" s="19" t="s">
        <v>3282</v>
      </c>
      <c r="D1101" s="22" t="s">
        <v>3283</v>
      </c>
      <c r="E1101" s="19" t="s">
        <v>109</v>
      </c>
      <c r="F1101" s="19" t="s">
        <v>3284</v>
      </c>
      <c r="G1101" s="19" t="s">
        <v>57</v>
      </c>
      <c r="H1101" s="22" t="s">
        <v>155</v>
      </c>
      <c r="I1101" s="25" t="s">
        <v>3285</v>
      </c>
      <c r="J1101" s="19"/>
      <c r="K1101" s="19" t="s">
        <v>99</v>
      </c>
      <c r="L1101" s="22" t="s">
        <v>3286</v>
      </c>
      <c r="M1101" s="26"/>
      <c r="N1101" s="26"/>
      <c r="O1101" s="26"/>
      <c r="P1101" s="26"/>
      <c r="Q1101" s="26"/>
    </row>
    <row r="1102" ht="15.75" hidden="1" customHeight="1">
      <c r="A1102" s="31" t="s">
        <v>39</v>
      </c>
      <c r="B1102" s="9" t="s">
        <v>3192</v>
      </c>
      <c r="C1102" s="19" t="s">
        <v>3287</v>
      </c>
      <c r="D1102" s="22" t="s">
        <v>656</v>
      </c>
      <c r="E1102" s="19" t="s">
        <v>109</v>
      </c>
      <c r="F1102" s="19" t="s">
        <v>3288</v>
      </c>
      <c r="G1102" s="19" t="s">
        <v>57</v>
      </c>
      <c r="H1102" s="22" t="s">
        <v>155</v>
      </c>
      <c r="I1102" s="25" t="s">
        <v>3289</v>
      </c>
      <c r="J1102" s="19"/>
      <c r="K1102" s="19" t="s">
        <v>105</v>
      </c>
      <c r="L1102" s="22"/>
      <c r="M1102" s="26"/>
      <c r="N1102" s="26"/>
      <c r="O1102" s="26"/>
      <c r="P1102" s="26"/>
      <c r="Q1102" s="26"/>
    </row>
    <row r="1103" ht="15.75" hidden="1" customHeight="1">
      <c r="A1103" s="31" t="s">
        <v>39</v>
      </c>
      <c r="B1103" s="9" t="s">
        <v>3192</v>
      </c>
      <c r="C1103" s="19" t="s">
        <v>3290</v>
      </c>
      <c r="D1103" s="22" t="s">
        <v>3291</v>
      </c>
      <c r="E1103" s="19" t="s">
        <v>109</v>
      </c>
      <c r="F1103" s="19" t="s">
        <v>1220</v>
      </c>
      <c r="G1103" s="19" t="s">
        <v>57</v>
      </c>
      <c r="H1103" s="22" t="s">
        <v>155</v>
      </c>
      <c r="I1103" s="25" t="s">
        <v>3292</v>
      </c>
      <c r="J1103" s="19" t="s">
        <v>95</v>
      </c>
      <c r="K1103" s="19" t="s">
        <v>110</v>
      </c>
      <c r="L1103" s="22"/>
      <c r="M1103" s="26"/>
      <c r="N1103" s="26"/>
      <c r="O1103" s="26"/>
      <c r="P1103" s="26"/>
      <c r="Q1103" s="26"/>
    </row>
    <row r="1104" ht="15.75" hidden="1" customHeight="1">
      <c r="A1104" s="31" t="s">
        <v>39</v>
      </c>
      <c r="B1104" s="9" t="s">
        <v>3192</v>
      </c>
      <c r="C1104" s="19" t="s">
        <v>3293</v>
      </c>
      <c r="D1104" s="22" t="s">
        <v>1362</v>
      </c>
      <c r="E1104" s="19" t="s">
        <v>109</v>
      </c>
      <c r="F1104" s="19" t="s">
        <v>2565</v>
      </c>
      <c r="G1104" s="19" t="s">
        <v>57</v>
      </c>
      <c r="H1104" s="22" t="s">
        <v>155</v>
      </c>
      <c r="I1104" s="25" t="s">
        <v>3294</v>
      </c>
      <c r="J1104" s="19"/>
      <c r="K1104" s="19" t="s">
        <v>105</v>
      </c>
      <c r="L1104" s="22"/>
      <c r="M1104" s="26"/>
      <c r="N1104" s="26"/>
      <c r="O1104" s="26"/>
      <c r="P1104" s="26"/>
      <c r="Q1104" s="26"/>
    </row>
    <row r="1105" ht="15.75" hidden="1" customHeight="1">
      <c r="A1105" s="31" t="s">
        <v>39</v>
      </c>
      <c r="B1105" s="9" t="s">
        <v>3192</v>
      </c>
      <c r="C1105" s="19" t="s">
        <v>3295</v>
      </c>
      <c r="D1105" s="22" t="s">
        <v>656</v>
      </c>
      <c r="E1105" s="19" t="s">
        <v>109</v>
      </c>
      <c r="F1105" s="19" t="s">
        <v>1220</v>
      </c>
      <c r="G1105" s="19" t="s">
        <v>57</v>
      </c>
      <c r="H1105" s="22" t="s">
        <v>155</v>
      </c>
      <c r="I1105" s="25" t="s">
        <v>3296</v>
      </c>
      <c r="J1105" s="19" t="s">
        <v>1445</v>
      </c>
      <c r="K1105" s="19" t="s">
        <v>110</v>
      </c>
      <c r="L1105" s="22"/>
      <c r="M1105" s="26"/>
      <c r="N1105" s="26"/>
      <c r="O1105" s="26"/>
      <c r="P1105" s="26"/>
      <c r="Q1105" s="26"/>
    </row>
    <row r="1106" ht="15.75" hidden="1" customHeight="1">
      <c r="A1106" s="31" t="s">
        <v>39</v>
      </c>
      <c r="B1106" s="9" t="s">
        <v>3192</v>
      </c>
      <c r="C1106" s="19" t="s">
        <v>1234</v>
      </c>
      <c r="D1106" s="22" t="s">
        <v>3297</v>
      </c>
      <c r="E1106" s="19" t="s">
        <v>109</v>
      </c>
      <c r="F1106" s="19" t="s">
        <v>1236</v>
      </c>
      <c r="G1106" s="19" t="s">
        <v>57</v>
      </c>
      <c r="H1106" s="22" t="s">
        <v>155</v>
      </c>
      <c r="I1106" s="25" t="s">
        <v>3298</v>
      </c>
      <c r="J1106" s="19" t="s">
        <v>1722</v>
      </c>
      <c r="K1106" s="19" t="s">
        <v>110</v>
      </c>
      <c r="L1106" s="22"/>
      <c r="M1106" s="26"/>
      <c r="N1106" s="26"/>
      <c r="O1106" s="26"/>
      <c r="P1106" s="26"/>
      <c r="Q1106" s="26"/>
    </row>
    <row r="1107" ht="15.75" hidden="1" customHeight="1">
      <c r="A1107" s="31" t="s">
        <v>39</v>
      </c>
      <c r="B1107" s="9" t="s">
        <v>3192</v>
      </c>
      <c r="C1107" s="19" t="s">
        <v>3299</v>
      </c>
      <c r="D1107" s="22" t="s">
        <v>3300</v>
      </c>
      <c r="E1107" s="19" t="s">
        <v>109</v>
      </c>
      <c r="F1107" s="19" t="s">
        <v>631</v>
      </c>
      <c r="G1107" s="19" t="s">
        <v>57</v>
      </c>
      <c r="H1107" s="22" t="s">
        <v>155</v>
      </c>
      <c r="I1107" s="25" t="s">
        <v>3301</v>
      </c>
      <c r="J1107" s="19" t="s">
        <v>1445</v>
      </c>
      <c r="K1107" s="19" t="s">
        <v>110</v>
      </c>
      <c r="L1107" s="22"/>
      <c r="M1107" s="26"/>
      <c r="N1107" s="26"/>
      <c r="O1107" s="26"/>
      <c r="P1107" s="26"/>
      <c r="Q1107" s="26"/>
    </row>
    <row r="1108" ht="15.75" hidden="1" customHeight="1">
      <c r="A1108" s="31" t="s">
        <v>39</v>
      </c>
      <c r="B1108" s="9" t="s">
        <v>3192</v>
      </c>
      <c r="C1108" s="19" t="s">
        <v>3302</v>
      </c>
      <c r="D1108" s="22" t="s">
        <v>3303</v>
      </c>
      <c r="E1108" s="19" t="s">
        <v>109</v>
      </c>
      <c r="F1108" s="19" t="s">
        <v>3304</v>
      </c>
      <c r="G1108" s="19" t="s">
        <v>57</v>
      </c>
      <c r="H1108" s="22" t="s">
        <v>155</v>
      </c>
      <c r="I1108" s="25" t="s">
        <v>3305</v>
      </c>
      <c r="J1108" s="19" t="s">
        <v>95</v>
      </c>
      <c r="K1108" s="19" t="s">
        <v>110</v>
      </c>
      <c r="L1108" s="22"/>
      <c r="M1108" s="26"/>
      <c r="N1108" s="26"/>
      <c r="O1108" s="26"/>
      <c r="P1108" s="26"/>
      <c r="Q1108" s="26"/>
    </row>
    <row r="1109" ht="15.75" hidden="1" customHeight="1">
      <c r="A1109" s="31" t="s">
        <v>39</v>
      </c>
      <c r="B1109" s="9" t="s">
        <v>3192</v>
      </c>
      <c r="C1109" s="19" t="s">
        <v>1487</v>
      </c>
      <c r="D1109" s="22" t="s">
        <v>1939</v>
      </c>
      <c r="E1109" s="19" t="s">
        <v>109</v>
      </c>
      <c r="F1109" s="19" t="s">
        <v>1220</v>
      </c>
      <c r="G1109" s="19" t="s">
        <v>57</v>
      </c>
      <c r="H1109" s="22" t="s">
        <v>155</v>
      </c>
      <c r="I1109" s="25" t="s">
        <v>3306</v>
      </c>
      <c r="J1109" s="19" t="s">
        <v>663</v>
      </c>
      <c r="K1109" s="19" t="s">
        <v>110</v>
      </c>
      <c r="L1109" s="22"/>
      <c r="M1109" s="26"/>
      <c r="N1109" s="26"/>
      <c r="O1109" s="26"/>
      <c r="P1109" s="26"/>
      <c r="Q1109" s="26"/>
    </row>
    <row r="1110" ht="15.75" hidden="1" customHeight="1">
      <c r="A1110" s="31" t="s">
        <v>39</v>
      </c>
      <c r="B1110" s="9" t="s">
        <v>3192</v>
      </c>
      <c r="C1110" s="19" t="s">
        <v>2628</v>
      </c>
      <c r="D1110" s="22" t="s">
        <v>1650</v>
      </c>
      <c r="E1110" s="19" t="s">
        <v>109</v>
      </c>
      <c r="F1110" s="19" t="s">
        <v>631</v>
      </c>
      <c r="G1110" s="19" t="s">
        <v>57</v>
      </c>
      <c r="H1110" s="22" t="s">
        <v>155</v>
      </c>
      <c r="I1110" s="25" t="s">
        <v>3307</v>
      </c>
      <c r="J1110" s="19" t="s">
        <v>1445</v>
      </c>
      <c r="K1110" s="19" t="s">
        <v>110</v>
      </c>
      <c r="L1110" s="22"/>
      <c r="M1110" s="26"/>
      <c r="N1110" s="26"/>
      <c r="O1110" s="26"/>
      <c r="P1110" s="26"/>
      <c r="Q1110" s="26"/>
    </row>
    <row r="1111" ht="15.75" hidden="1" customHeight="1">
      <c r="A1111" s="31" t="s">
        <v>39</v>
      </c>
      <c r="B1111" s="9" t="s">
        <v>3192</v>
      </c>
      <c r="C1111" s="19" t="s">
        <v>3308</v>
      </c>
      <c r="D1111" s="22" t="s">
        <v>3309</v>
      </c>
      <c r="E1111" s="19" t="s">
        <v>109</v>
      </c>
      <c r="F1111" s="19" t="s">
        <v>631</v>
      </c>
      <c r="G1111" s="19" t="s">
        <v>57</v>
      </c>
      <c r="H1111" s="22" t="s">
        <v>155</v>
      </c>
      <c r="I1111" s="25" t="s">
        <v>3310</v>
      </c>
      <c r="J1111" s="19" t="s">
        <v>456</v>
      </c>
      <c r="K1111" s="19" t="s">
        <v>78</v>
      </c>
      <c r="L1111" s="22"/>
      <c r="M1111" s="26"/>
      <c r="N1111" s="26"/>
      <c r="O1111" s="26"/>
      <c r="P1111" s="26"/>
      <c r="Q1111" s="26"/>
    </row>
    <row r="1112" ht="15.75" hidden="1" customHeight="1">
      <c r="A1112" s="31" t="s">
        <v>39</v>
      </c>
      <c r="B1112" s="9" t="s">
        <v>3192</v>
      </c>
      <c r="C1112" s="19" t="s">
        <v>3311</v>
      </c>
      <c r="D1112" s="22" t="s">
        <v>2787</v>
      </c>
      <c r="E1112" s="19" t="s">
        <v>109</v>
      </c>
      <c r="F1112" s="19" t="s">
        <v>1236</v>
      </c>
      <c r="G1112" s="19" t="s">
        <v>57</v>
      </c>
      <c r="H1112" s="22" t="s">
        <v>155</v>
      </c>
      <c r="I1112" s="25" t="s">
        <v>3312</v>
      </c>
      <c r="J1112" s="19" t="s">
        <v>1371</v>
      </c>
      <c r="K1112" s="19" t="s">
        <v>78</v>
      </c>
      <c r="L1112" s="22"/>
      <c r="M1112" s="26"/>
      <c r="N1112" s="26"/>
      <c r="O1112" s="26"/>
      <c r="P1112" s="26"/>
      <c r="Q1112" s="26"/>
    </row>
    <row r="1113" ht="15.75" hidden="1" customHeight="1">
      <c r="A1113" s="31" t="s">
        <v>39</v>
      </c>
      <c r="B1113" s="9" t="s">
        <v>3192</v>
      </c>
      <c r="C1113" s="19" t="s">
        <v>3313</v>
      </c>
      <c r="D1113" s="22" t="s">
        <v>656</v>
      </c>
      <c r="E1113" s="19" t="s">
        <v>109</v>
      </c>
      <c r="F1113" s="19" t="s">
        <v>3314</v>
      </c>
      <c r="G1113" s="19" t="s">
        <v>57</v>
      </c>
      <c r="H1113" s="22" t="s">
        <v>155</v>
      </c>
      <c r="I1113" s="25" t="s">
        <v>3315</v>
      </c>
      <c r="J1113" s="19"/>
      <c r="K1113" s="19" t="s">
        <v>74</v>
      </c>
      <c r="L1113" s="22"/>
      <c r="M1113" s="26"/>
      <c r="N1113" s="26"/>
      <c r="O1113" s="26"/>
      <c r="P1113" s="26"/>
      <c r="Q1113" s="26"/>
    </row>
    <row r="1114" ht="15.75" hidden="1" customHeight="1">
      <c r="A1114" s="31" t="s">
        <v>39</v>
      </c>
      <c r="B1114" s="9" t="s">
        <v>3192</v>
      </c>
      <c r="C1114" s="19" t="s">
        <v>1728</v>
      </c>
      <c r="D1114" s="22" t="s">
        <v>3316</v>
      </c>
      <c r="E1114" s="19" t="s">
        <v>109</v>
      </c>
      <c r="F1114" s="19" t="s">
        <v>421</v>
      </c>
      <c r="G1114" s="19" t="s">
        <v>57</v>
      </c>
      <c r="H1114" s="22" t="s">
        <v>155</v>
      </c>
      <c r="I1114" s="25" t="s">
        <v>3317</v>
      </c>
      <c r="J1114" s="19"/>
      <c r="K1114" s="19" t="s">
        <v>105</v>
      </c>
      <c r="L1114" s="22"/>
      <c r="M1114" s="26"/>
      <c r="N1114" s="26"/>
      <c r="O1114" s="26"/>
      <c r="P1114" s="26"/>
      <c r="Q1114" s="26"/>
    </row>
    <row r="1115" ht="15.75" hidden="1" customHeight="1">
      <c r="A1115" s="31" t="s">
        <v>39</v>
      </c>
      <c r="B1115" s="9" t="s">
        <v>3192</v>
      </c>
      <c r="C1115" s="19" t="s">
        <v>1728</v>
      </c>
      <c r="D1115" s="22" t="s">
        <v>3318</v>
      </c>
      <c r="E1115" s="19" t="s">
        <v>109</v>
      </c>
      <c r="F1115" s="19" t="s">
        <v>186</v>
      </c>
      <c r="G1115" s="19" t="s">
        <v>57</v>
      </c>
      <c r="H1115" s="22" t="s">
        <v>155</v>
      </c>
      <c r="I1115" s="25" t="s">
        <v>3319</v>
      </c>
      <c r="J1115" s="19"/>
      <c r="K1115" s="19" t="s">
        <v>246</v>
      </c>
      <c r="L1115" s="22" t="s">
        <v>1731</v>
      </c>
      <c r="M1115" s="26"/>
      <c r="N1115" s="26"/>
      <c r="O1115" s="26"/>
      <c r="P1115" s="26"/>
      <c r="Q1115" s="26"/>
    </row>
    <row r="1116" ht="15.75" hidden="1" customHeight="1">
      <c r="A1116" s="31" t="s">
        <v>39</v>
      </c>
      <c r="B1116" s="9" t="s">
        <v>3192</v>
      </c>
      <c r="C1116" s="19" t="s">
        <v>1728</v>
      </c>
      <c r="D1116" s="22" t="s">
        <v>3320</v>
      </c>
      <c r="E1116" s="19" t="s">
        <v>109</v>
      </c>
      <c r="F1116" s="19" t="s">
        <v>3321</v>
      </c>
      <c r="G1116" s="19" t="s">
        <v>57</v>
      </c>
      <c r="H1116" s="22" t="s">
        <v>155</v>
      </c>
      <c r="I1116" s="25" t="s">
        <v>2728</v>
      </c>
      <c r="J1116" s="19"/>
      <c r="K1116" s="19" t="s">
        <v>105</v>
      </c>
      <c r="L1116" s="22"/>
      <c r="M1116" s="26"/>
      <c r="N1116" s="26"/>
      <c r="O1116" s="26"/>
      <c r="P1116" s="26"/>
      <c r="Q1116" s="26"/>
    </row>
    <row r="1117" ht="15.75" hidden="1" customHeight="1">
      <c r="A1117" s="31" t="s">
        <v>39</v>
      </c>
      <c r="B1117" s="9" t="s">
        <v>3192</v>
      </c>
      <c r="C1117" s="19" t="s">
        <v>1728</v>
      </c>
      <c r="D1117" s="22" t="s">
        <v>3322</v>
      </c>
      <c r="E1117" s="19" t="s">
        <v>109</v>
      </c>
      <c r="F1117" s="19" t="s">
        <v>3321</v>
      </c>
      <c r="G1117" s="19" t="s">
        <v>57</v>
      </c>
      <c r="H1117" s="22" t="s">
        <v>155</v>
      </c>
      <c r="I1117" s="25" t="s">
        <v>2731</v>
      </c>
      <c r="J1117" s="19"/>
      <c r="K1117" s="19" t="s">
        <v>105</v>
      </c>
      <c r="L1117" s="22"/>
      <c r="M1117" s="26"/>
      <c r="N1117" s="26"/>
      <c r="O1117" s="26"/>
      <c r="P1117" s="26"/>
      <c r="Q1117" s="26"/>
    </row>
    <row r="1118" ht="15.75" hidden="1" customHeight="1">
      <c r="A1118" s="31" t="s">
        <v>39</v>
      </c>
      <c r="B1118" s="9" t="s">
        <v>3192</v>
      </c>
      <c r="C1118" s="19" t="s">
        <v>1728</v>
      </c>
      <c r="D1118" s="22" t="s">
        <v>3323</v>
      </c>
      <c r="E1118" s="19" t="s">
        <v>109</v>
      </c>
      <c r="F1118" s="19" t="s">
        <v>3324</v>
      </c>
      <c r="G1118" s="19" t="s">
        <v>57</v>
      </c>
      <c r="H1118" s="22" t="s">
        <v>155</v>
      </c>
      <c r="I1118" s="25" t="s">
        <v>3325</v>
      </c>
      <c r="J1118" s="19"/>
      <c r="K1118" s="19" t="s">
        <v>105</v>
      </c>
      <c r="L1118" s="22" t="s">
        <v>3326</v>
      </c>
      <c r="M1118" s="26"/>
      <c r="N1118" s="26"/>
      <c r="O1118" s="26"/>
      <c r="P1118" s="26"/>
      <c r="Q1118" s="26"/>
    </row>
    <row r="1119" ht="15.75" hidden="1" customHeight="1">
      <c r="A1119" s="31" t="s">
        <v>39</v>
      </c>
      <c r="B1119" s="9" t="s">
        <v>3192</v>
      </c>
      <c r="C1119" s="19" t="s">
        <v>3327</v>
      </c>
      <c r="D1119" s="22" t="s">
        <v>2780</v>
      </c>
      <c r="E1119" s="19" t="s">
        <v>109</v>
      </c>
      <c r="F1119" s="19" t="s">
        <v>631</v>
      </c>
      <c r="G1119" s="19" t="s">
        <v>57</v>
      </c>
      <c r="H1119" s="22" t="s">
        <v>155</v>
      </c>
      <c r="I1119" s="25" t="s">
        <v>3328</v>
      </c>
      <c r="J1119" s="19" t="s">
        <v>1445</v>
      </c>
      <c r="K1119" s="19" t="s">
        <v>110</v>
      </c>
      <c r="L1119" s="22"/>
      <c r="M1119" s="26"/>
      <c r="N1119" s="26"/>
      <c r="O1119" s="26"/>
      <c r="P1119" s="26"/>
      <c r="Q1119" s="26"/>
    </row>
    <row r="1120" ht="15.75" hidden="1" customHeight="1">
      <c r="A1120" s="31" t="s">
        <v>39</v>
      </c>
      <c r="B1120" s="9" t="s">
        <v>3192</v>
      </c>
      <c r="C1120" s="19" t="s">
        <v>3329</v>
      </c>
      <c r="D1120" s="22" t="s">
        <v>2799</v>
      </c>
      <c r="E1120" s="19" t="s">
        <v>109</v>
      </c>
      <c r="F1120" s="19" t="s">
        <v>2162</v>
      </c>
      <c r="G1120" s="19" t="s">
        <v>57</v>
      </c>
      <c r="H1120" s="22" t="s">
        <v>155</v>
      </c>
      <c r="I1120" s="25" t="s">
        <v>3330</v>
      </c>
      <c r="J1120" s="19"/>
      <c r="K1120" s="19" t="s">
        <v>105</v>
      </c>
      <c r="L1120" s="22"/>
      <c r="M1120" s="26"/>
      <c r="N1120" s="26"/>
      <c r="O1120" s="26"/>
      <c r="P1120" s="26"/>
      <c r="Q1120" s="26"/>
    </row>
    <row r="1121" ht="15.75" hidden="1" customHeight="1">
      <c r="A1121" s="31" t="s">
        <v>39</v>
      </c>
      <c r="B1121" s="9" t="s">
        <v>3192</v>
      </c>
      <c r="C1121" s="19" t="s">
        <v>3331</v>
      </c>
      <c r="D1121" s="22" t="s">
        <v>3332</v>
      </c>
      <c r="E1121" s="19" t="s">
        <v>109</v>
      </c>
      <c r="F1121" s="19" t="s">
        <v>2201</v>
      </c>
      <c r="G1121" s="19" t="s">
        <v>146</v>
      </c>
      <c r="H1121" s="22" t="s">
        <v>155</v>
      </c>
      <c r="I1121" s="25" t="s">
        <v>3333</v>
      </c>
      <c r="J1121" s="19"/>
      <c r="K1121" s="19" t="s">
        <v>99</v>
      </c>
      <c r="L1121" s="22" t="s">
        <v>3334</v>
      </c>
      <c r="M1121" s="26"/>
      <c r="N1121" s="26"/>
      <c r="O1121" s="26"/>
      <c r="P1121" s="26"/>
      <c r="Q1121" s="26"/>
    </row>
    <row r="1122" ht="15.75" hidden="1" customHeight="1">
      <c r="A1122" s="31" t="s">
        <v>39</v>
      </c>
      <c r="B1122" s="9" t="s">
        <v>3192</v>
      </c>
      <c r="C1122" s="19" t="s">
        <v>3335</v>
      </c>
      <c r="D1122" s="22" t="s">
        <v>3336</v>
      </c>
      <c r="E1122" s="19" t="s">
        <v>109</v>
      </c>
      <c r="F1122" s="19" t="s">
        <v>3337</v>
      </c>
      <c r="G1122" s="19" t="s">
        <v>57</v>
      </c>
      <c r="H1122" s="22" t="s">
        <v>155</v>
      </c>
      <c r="I1122" s="25" t="s">
        <v>3338</v>
      </c>
      <c r="J1122" s="19"/>
      <c r="K1122" s="19" t="s">
        <v>105</v>
      </c>
      <c r="L1122" s="22"/>
      <c r="M1122" s="26"/>
      <c r="N1122" s="26"/>
      <c r="O1122" s="26"/>
      <c r="P1122" s="26"/>
      <c r="Q1122" s="26"/>
    </row>
    <row r="1123" ht="15.75" hidden="1" customHeight="1">
      <c r="A1123" s="31" t="s">
        <v>39</v>
      </c>
      <c r="B1123" s="9" t="s">
        <v>3192</v>
      </c>
      <c r="C1123" s="19" t="s">
        <v>3335</v>
      </c>
      <c r="D1123" s="22" t="s">
        <v>3339</v>
      </c>
      <c r="E1123" s="19" t="s">
        <v>109</v>
      </c>
      <c r="F1123" s="19" t="s">
        <v>3340</v>
      </c>
      <c r="G1123" s="19" t="s">
        <v>57</v>
      </c>
      <c r="H1123" s="22" t="s">
        <v>155</v>
      </c>
      <c r="I1123" s="25" t="s">
        <v>3338</v>
      </c>
      <c r="J1123" s="19" t="s">
        <v>3341</v>
      </c>
      <c r="K1123" s="19" t="s">
        <v>130</v>
      </c>
      <c r="L1123" s="22"/>
      <c r="M1123" s="26"/>
      <c r="N1123" s="26"/>
      <c r="O1123" s="26"/>
      <c r="P1123" s="26"/>
      <c r="Q1123" s="26"/>
    </row>
    <row r="1124" ht="15.75" hidden="1" customHeight="1">
      <c r="A1124" s="31" t="s">
        <v>39</v>
      </c>
      <c r="B1124" s="9" t="s">
        <v>3192</v>
      </c>
      <c r="C1124" s="19" t="s">
        <v>2646</v>
      </c>
      <c r="D1124" s="22" t="s">
        <v>3342</v>
      </c>
      <c r="E1124" s="19" t="s">
        <v>109</v>
      </c>
      <c r="F1124" s="19" t="s">
        <v>631</v>
      </c>
      <c r="G1124" s="19" t="s">
        <v>57</v>
      </c>
      <c r="H1124" s="22" t="s">
        <v>155</v>
      </c>
      <c r="I1124" s="25" t="s">
        <v>3343</v>
      </c>
      <c r="J1124" s="19" t="s">
        <v>1445</v>
      </c>
      <c r="K1124" s="19" t="s">
        <v>110</v>
      </c>
      <c r="L1124" s="22"/>
      <c r="M1124" s="26"/>
      <c r="N1124" s="26"/>
      <c r="O1124" s="26"/>
      <c r="P1124" s="26"/>
      <c r="Q1124" s="26"/>
    </row>
    <row r="1125" ht="15.75" hidden="1" customHeight="1">
      <c r="A1125" s="31" t="s">
        <v>39</v>
      </c>
      <c r="B1125" s="9" t="s">
        <v>3192</v>
      </c>
      <c r="C1125" s="19" t="s">
        <v>2646</v>
      </c>
      <c r="D1125" s="22" t="s">
        <v>656</v>
      </c>
      <c r="E1125" s="19" t="s">
        <v>109</v>
      </c>
      <c r="F1125" s="19" t="s">
        <v>631</v>
      </c>
      <c r="G1125" s="19" t="s">
        <v>57</v>
      </c>
      <c r="H1125" s="22" t="s">
        <v>155</v>
      </c>
      <c r="I1125" s="25" t="s">
        <v>3344</v>
      </c>
      <c r="J1125" s="19" t="s">
        <v>1445</v>
      </c>
      <c r="K1125" s="19" t="s">
        <v>110</v>
      </c>
      <c r="L1125" s="22"/>
      <c r="M1125" s="26"/>
      <c r="N1125" s="26"/>
      <c r="O1125" s="26"/>
      <c r="P1125" s="26"/>
      <c r="Q1125" s="26"/>
    </row>
    <row r="1126" ht="15.75" hidden="1" customHeight="1">
      <c r="A1126" s="31" t="s">
        <v>39</v>
      </c>
      <c r="B1126" s="9" t="s">
        <v>3192</v>
      </c>
      <c r="C1126" s="19" t="s">
        <v>1513</v>
      </c>
      <c r="D1126" s="22" t="s">
        <v>3345</v>
      </c>
      <c r="E1126" s="19" t="s">
        <v>109</v>
      </c>
      <c r="F1126" s="19" t="s">
        <v>1803</v>
      </c>
      <c r="G1126" s="19" t="s">
        <v>57</v>
      </c>
      <c r="H1126" s="22" t="s">
        <v>155</v>
      </c>
      <c r="I1126" s="25" t="s">
        <v>3346</v>
      </c>
      <c r="J1126" s="19" t="s">
        <v>1349</v>
      </c>
      <c r="K1126" s="19" t="s">
        <v>110</v>
      </c>
      <c r="L1126" s="22"/>
      <c r="M1126" s="26"/>
      <c r="N1126" s="26"/>
      <c r="O1126" s="26"/>
      <c r="P1126" s="26"/>
      <c r="Q1126" s="26"/>
    </row>
    <row r="1127" ht="15.75" hidden="1" customHeight="1">
      <c r="A1127" s="31" t="s">
        <v>39</v>
      </c>
      <c r="B1127" s="9" t="s">
        <v>3192</v>
      </c>
      <c r="C1127" s="19" t="s">
        <v>3347</v>
      </c>
      <c r="D1127" s="22" t="s">
        <v>3348</v>
      </c>
      <c r="E1127" s="19" t="s">
        <v>109</v>
      </c>
      <c r="F1127" s="19" t="s">
        <v>3349</v>
      </c>
      <c r="G1127" s="19" t="s">
        <v>57</v>
      </c>
      <c r="H1127" s="22" t="s">
        <v>155</v>
      </c>
      <c r="I1127" s="25" t="s">
        <v>3350</v>
      </c>
      <c r="J1127" s="19"/>
      <c r="K1127" s="19" t="s">
        <v>13</v>
      </c>
      <c r="L1127" s="22" t="s">
        <v>890</v>
      </c>
      <c r="M1127" s="26"/>
      <c r="N1127" s="26"/>
      <c r="O1127" s="26"/>
      <c r="P1127" s="26"/>
      <c r="Q1127" s="26"/>
    </row>
    <row r="1128" ht="15.75" hidden="1" customHeight="1">
      <c r="A1128" s="31" t="s">
        <v>39</v>
      </c>
      <c r="B1128" s="9" t="s">
        <v>3192</v>
      </c>
      <c r="C1128" s="19" t="s">
        <v>3351</v>
      </c>
      <c r="D1128" s="22" t="s">
        <v>3352</v>
      </c>
      <c r="E1128" s="19" t="s">
        <v>109</v>
      </c>
      <c r="F1128" s="19" t="s">
        <v>3353</v>
      </c>
      <c r="G1128" s="19" t="s">
        <v>57</v>
      </c>
      <c r="H1128" s="22" t="s">
        <v>155</v>
      </c>
      <c r="I1128" s="25" t="s">
        <v>3354</v>
      </c>
      <c r="J1128" s="19"/>
      <c r="K1128" s="19" t="s">
        <v>105</v>
      </c>
      <c r="L1128" s="22" t="s">
        <v>3355</v>
      </c>
      <c r="M1128" s="26"/>
      <c r="N1128" s="26"/>
      <c r="O1128" s="26"/>
      <c r="P1128" s="26"/>
      <c r="Q1128" s="26"/>
    </row>
    <row r="1129" ht="15.75" hidden="1" customHeight="1">
      <c r="A1129" s="31" t="s">
        <v>39</v>
      </c>
      <c r="B1129" s="9" t="s">
        <v>3192</v>
      </c>
      <c r="C1129" s="19" t="s">
        <v>3356</v>
      </c>
      <c r="D1129" s="22" t="s">
        <v>3357</v>
      </c>
      <c r="E1129" s="19" t="s">
        <v>109</v>
      </c>
      <c r="F1129" s="19" t="s">
        <v>3358</v>
      </c>
      <c r="G1129" s="19" t="s">
        <v>57</v>
      </c>
      <c r="H1129" s="22" t="s">
        <v>155</v>
      </c>
      <c r="I1129" s="25" t="s">
        <v>3359</v>
      </c>
      <c r="J1129" s="19" t="s">
        <v>1445</v>
      </c>
      <c r="K1129" s="19" t="s">
        <v>94</v>
      </c>
      <c r="L1129" s="22"/>
      <c r="M1129" s="26"/>
      <c r="N1129" s="26"/>
      <c r="O1129" s="26"/>
      <c r="P1129" s="26"/>
      <c r="Q1129" s="26"/>
    </row>
    <row r="1130" ht="15.75" hidden="1" customHeight="1">
      <c r="A1130" s="31" t="s">
        <v>39</v>
      </c>
      <c r="B1130" s="9" t="s">
        <v>3192</v>
      </c>
      <c r="C1130" s="19" t="s">
        <v>3360</v>
      </c>
      <c r="D1130" s="22" t="s">
        <v>656</v>
      </c>
      <c r="E1130" s="19" t="s">
        <v>109</v>
      </c>
      <c r="F1130" s="19" t="s">
        <v>3361</v>
      </c>
      <c r="G1130" s="19" t="s">
        <v>57</v>
      </c>
      <c r="H1130" s="22" t="s">
        <v>155</v>
      </c>
      <c r="I1130" s="25" t="s">
        <v>3362</v>
      </c>
      <c r="J1130" s="19"/>
      <c r="K1130" s="19" t="s">
        <v>74</v>
      </c>
      <c r="L1130" s="22"/>
      <c r="M1130" s="26"/>
      <c r="N1130" s="26"/>
      <c r="O1130" s="26"/>
      <c r="P1130" s="26"/>
      <c r="Q1130" s="26"/>
    </row>
    <row r="1131" ht="15.75" hidden="1" customHeight="1">
      <c r="A1131" s="31" t="s">
        <v>39</v>
      </c>
      <c r="B1131" s="9" t="s">
        <v>3192</v>
      </c>
      <c r="C1131" s="19" t="s">
        <v>3363</v>
      </c>
      <c r="D1131" s="22" t="s">
        <v>3364</v>
      </c>
      <c r="E1131" s="19" t="s">
        <v>109</v>
      </c>
      <c r="F1131" s="19" t="s">
        <v>2534</v>
      </c>
      <c r="G1131" s="19" t="s">
        <v>57</v>
      </c>
      <c r="H1131" s="22" t="s">
        <v>155</v>
      </c>
      <c r="I1131" s="25" t="s">
        <v>3365</v>
      </c>
      <c r="J1131" s="19"/>
      <c r="K1131" s="19" t="s">
        <v>99</v>
      </c>
      <c r="L1131" s="22" t="s">
        <v>3366</v>
      </c>
      <c r="M1131" s="26"/>
      <c r="N1131" s="26"/>
      <c r="O1131" s="26"/>
      <c r="P1131" s="26"/>
      <c r="Q1131" s="26"/>
    </row>
    <row r="1132" ht="15.75" hidden="1" customHeight="1">
      <c r="A1132" s="31" t="s">
        <v>39</v>
      </c>
      <c r="B1132" s="9" t="s">
        <v>3192</v>
      </c>
      <c r="C1132" s="19" t="s">
        <v>3367</v>
      </c>
      <c r="D1132" s="22" t="s">
        <v>3368</v>
      </c>
      <c r="E1132" s="19" t="s">
        <v>109</v>
      </c>
      <c r="F1132" s="19" t="s">
        <v>3369</v>
      </c>
      <c r="G1132" s="19" t="s">
        <v>57</v>
      </c>
      <c r="H1132" s="22" t="s">
        <v>155</v>
      </c>
      <c r="I1132" s="25" t="s">
        <v>3370</v>
      </c>
      <c r="J1132" s="19"/>
      <c r="K1132" s="19" t="s">
        <v>143</v>
      </c>
      <c r="L1132" s="22" t="s">
        <v>3371</v>
      </c>
      <c r="M1132" s="26"/>
      <c r="N1132" s="26"/>
      <c r="O1132" s="26"/>
      <c r="P1132" s="26"/>
      <c r="Q1132" s="26"/>
    </row>
    <row r="1133" ht="15.75" hidden="1" customHeight="1">
      <c r="A1133" s="31" t="s">
        <v>39</v>
      </c>
      <c r="B1133" s="9" t="s">
        <v>3192</v>
      </c>
      <c r="C1133" s="19" t="s">
        <v>3372</v>
      </c>
      <c r="D1133" s="22" t="s">
        <v>3373</v>
      </c>
      <c r="E1133" s="19" t="s">
        <v>109</v>
      </c>
      <c r="F1133" s="19" t="s">
        <v>521</v>
      </c>
      <c r="G1133" s="19" t="s">
        <v>57</v>
      </c>
      <c r="H1133" s="22" t="s">
        <v>155</v>
      </c>
      <c r="I1133" s="25" t="s">
        <v>3374</v>
      </c>
      <c r="J1133" s="19" t="s">
        <v>140</v>
      </c>
      <c r="K1133" s="19" t="s">
        <v>13</v>
      </c>
      <c r="L1133" s="22" t="s">
        <v>890</v>
      </c>
      <c r="M1133" s="26"/>
      <c r="N1133" s="26"/>
      <c r="O1133" s="26"/>
      <c r="P1133" s="26"/>
      <c r="Q1133" s="26"/>
    </row>
    <row r="1134" ht="15.75" hidden="1" customHeight="1">
      <c r="A1134" s="31" t="s">
        <v>39</v>
      </c>
      <c r="B1134" s="9" t="s">
        <v>3192</v>
      </c>
      <c r="C1134" s="19" t="s">
        <v>3375</v>
      </c>
      <c r="D1134" s="22" t="s">
        <v>656</v>
      </c>
      <c r="E1134" s="19" t="s">
        <v>109</v>
      </c>
      <c r="F1134" s="19" t="s">
        <v>3376</v>
      </c>
      <c r="G1134" s="19" t="s">
        <v>57</v>
      </c>
      <c r="H1134" s="22" t="s">
        <v>155</v>
      </c>
      <c r="I1134" s="25" t="s">
        <v>3377</v>
      </c>
      <c r="J1134" s="19" t="s">
        <v>627</v>
      </c>
      <c r="K1134" s="19" t="s">
        <v>110</v>
      </c>
      <c r="L1134" s="22"/>
      <c r="M1134" s="26"/>
      <c r="N1134" s="26"/>
      <c r="O1134" s="26"/>
      <c r="P1134" s="26"/>
      <c r="Q1134" s="26"/>
    </row>
    <row r="1135" ht="15.75" hidden="1" customHeight="1">
      <c r="A1135" s="31" t="s">
        <v>39</v>
      </c>
      <c r="B1135" s="9" t="s">
        <v>3192</v>
      </c>
      <c r="C1135" s="19" t="s">
        <v>3378</v>
      </c>
      <c r="D1135" s="22" t="s">
        <v>3379</v>
      </c>
      <c r="E1135" s="19" t="s">
        <v>109</v>
      </c>
      <c r="F1135" s="19" t="s">
        <v>2565</v>
      </c>
      <c r="G1135" s="19" t="s">
        <v>57</v>
      </c>
      <c r="H1135" s="22" t="s">
        <v>155</v>
      </c>
      <c r="I1135" s="25" t="s">
        <v>3380</v>
      </c>
      <c r="J1135" s="19" t="s">
        <v>982</v>
      </c>
      <c r="K1135" s="19" t="s">
        <v>110</v>
      </c>
      <c r="L1135" s="22"/>
      <c r="M1135" s="26"/>
      <c r="N1135" s="26"/>
      <c r="O1135" s="26"/>
      <c r="P1135" s="26"/>
      <c r="Q1135" s="26"/>
    </row>
    <row r="1136" ht="15.75" hidden="1" customHeight="1">
      <c r="A1136" s="31" t="s">
        <v>39</v>
      </c>
      <c r="B1136" s="9" t="s">
        <v>3192</v>
      </c>
      <c r="C1136" s="19" t="s">
        <v>3378</v>
      </c>
      <c r="D1136" s="22" t="s">
        <v>3379</v>
      </c>
      <c r="E1136" s="19" t="s">
        <v>109</v>
      </c>
      <c r="F1136" s="19" t="s">
        <v>2221</v>
      </c>
      <c r="G1136" s="19" t="s">
        <v>57</v>
      </c>
      <c r="H1136" s="22" t="s">
        <v>155</v>
      </c>
      <c r="I1136" s="25" t="s">
        <v>3381</v>
      </c>
      <c r="J1136" s="19" t="s">
        <v>782</v>
      </c>
      <c r="K1136" s="19" t="s">
        <v>110</v>
      </c>
      <c r="L1136" s="22"/>
      <c r="M1136" s="26"/>
      <c r="N1136" s="26"/>
      <c r="O1136" s="26"/>
      <c r="P1136" s="26"/>
      <c r="Q1136" s="26"/>
    </row>
    <row r="1137" ht="15.75" hidden="1" customHeight="1">
      <c r="A1137" s="31" t="s">
        <v>39</v>
      </c>
      <c r="B1137" s="9" t="s">
        <v>3192</v>
      </c>
      <c r="C1137" s="19" t="s">
        <v>2864</v>
      </c>
      <c r="D1137" s="22" t="s">
        <v>3382</v>
      </c>
      <c r="E1137" s="19" t="s">
        <v>109</v>
      </c>
      <c r="F1137" s="19" t="s">
        <v>1414</v>
      </c>
      <c r="G1137" s="19" t="s">
        <v>57</v>
      </c>
      <c r="H1137" s="22" t="s">
        <v>155</v>
      </c>
      <c r="I1137" s="25" t="s">
        <v>2865</v>
      </c>
      <c r="J1137" s="19"/>
      <c r="K1137" s="19" t="s">
        <v>99</v>
      </c>
      <c r="L1137" s="22" t="s">
        <v>1596</v>
      </c>
      <c r="M1137" s="26"/>
      <c r="N1137" s="26"/>
      <c r="O1137" s="26"/>
      <c r="P1137" s="26"/>
      <c r="Q1137" s="26"/>
    </row>
    <row r="1138" ht="15.75" hidden="1" customHeight="1">
      <c r="A1138" s="31" t="s">
        <v>39</v>
      </c>
      <c r="B1138" s="9" t="s">
        <v>3192</v>
      </c>
      <c r="C1138" s="19" t="s">
        <v>2864</v>
      </c>
      <c r="D1138" s="22" t="s">
        <v>3383</v>
      </c>
      <c r="E1138" s="19" t="s">
        <v>109</v>
      </c>
      <c r="F1138" s="19" t="s">
        <v>3384</v>
      </c>
      <c r="G1138" s="19" t="s">
        <v>146</v>
      </c>
      <c r="H1138" s="22" t="s">
        <v>155</v>
      </c>
      <c r="I1138" s="25" t="s">
        <v>2865</v>
      </c>
      <c r="J1138" s="19" t="s">
        <v>456</v>
      </c>
      <c r="K1138" s="19" t="s">
        <v>99</v>
      </c>
      <c r="L1138" s="22" t="s">
        <v>3385</v>
      </c>
      <c r="M1138" s="26"/>
      <c r="N1138" s="26"/>
      <c r="O1138" s="26"/>
      <c r="P1138" s="26"/>
      <c r="Q1138" s="26"/>
    </row>
    <row r="1139" ht="15.75" hidden="1" customHeight="1">
      <c r="A1139" s="31" t="s">
        <v>39</v>
      </c>
      <c r="B1139" s="9" t="s">
        <v>3192</v>
      </c>
      <c r="C1139" s="19" t="s">
        <v>1259</v>
      </c>
      <c r="D1139" s="22" t="s">
        <v>3386</v>
      </c>
      <c r="E1139" s="19" t="s">
        <v>109</v>
      </c>
      <c r="F1139" s="19" t="s">
        <v>1263</v>
      </c>
      <c r="G1139" s="19" t="s">
        <v>57</v>
      </c>
      <c r="H1139" s="22" t="s">
        <v>155</v>
      </c>
      <c r="I1139" s="25" t="s">
        <v>3387</v>
      </c>
      <c r="J1139" s="19"/>
      <c r="K1139" s="19" t="s">
        <v>105</v>
      </c>
      <c r="L1139" s="22"/>
      <c r="M1139" s="26"/>
      <c r="N1139" s="26"/>
      <c r="O1139" s="26"/>
      <c r="P1139" s="26"/>
      <c r="Q1139" s="26"/>
    </row>
    <row r="1140" ht="15.75" hidden="1" customHeight="1">
      <c r="A1140" s="31" t="s">
        <v>39</v>
      </c>
      <c r="B1140" s="9" t="s">
        <v>3192</v>
      </c>
      <c r="C1140" s="19" t="s">
        <v>1259</v>
      </c>
      <c r="D1140" s="22" t="s">
        <v>3388</v>
      </c>
      <c r="E1140" s="19" t="s">
        <v>109</v>
      </c>
      <c r="F1140" s="19" t="s">
        <v>1167</v>
      </c>
      <c r="G1140" s="19" t="s">
        <v>57</v>
      </c>
      <c r="H1140" s="22" t="s">
        <v>155</v>
      </c>
      <c r="I1140" s="25" t="s">
        <v>3389</v>
      </c>
      <c r="J1140" s="19" t="s">
        <v>926</v>
      </c>
      <c r="K1140" s="19" t="s">
        <v>94</v>
      </c>
      <c r="L1140" s="22"/>
      <c r="M1140" s="26"/>
      <c r="N1140" s="26"/>
      <c r="O1140" s="26"/>
      <c r="P1140" s="26"/>
      <c r="Q1140" s="26"/>
    </row>
    <row r="1141" ht="15.75" hidden="1" customHeight="1">
      <c r="A1141" s="31" t="s">
        <v>39</v>
      </c>
      <c r="B1141" s="9" t="s">
        <v>3192</v>
      </c>
      <c r="C1141" s="19" t="s">
        <v>1259</v>
      </c>
      <c r="D1141" s="22" t="s">
        <v>3390</v>
      </c>
      <c r="E1141" s="19" t="s">
        <v>109</v>
      </c>
      <c r="F1141" s="19" t="s">
        <v>1167</v>
      </c>
      <c r="G1141" s="19" t="s">
        <v>57</v>
      </c>
      <c r="H1141" s="22" t="s">
        <v>155</v>
      </c>
      <c r="I1141" s="25" t="s">
        <v>3391</v>
      </c>
      <c r="J1141" s="19" t="s">
        <v>926</v>
      </c>
      <c r="K1141" s="19" t="s">
        <v>94</v>
      </c>
      <c r="L1141" s="22"/>
      <c r="M1141" s="26"/>
      <c r="N1141" s="26"/>
      <c r="O1141" s="26"/>
      <c r="P1141" s="26"/>
      <c r="Q1141" s="26"/>
    </row>
    <row r="1142" ht="15.75" hidden="1" customHeight="1">
      <c r="A1142" s="31" t="s">
        <v>39</v>
      </c>
      <c r="B1142" s="9" t="s">
        <v>3392</v>
      </c>
      <c r="C1142" s="19" t="s">
        <v>3393</v>
      </c>
      <c r="D1142" s="22" t="s">
        <v>3394</v>
      </c>
      <c r="E1142" s="19" t="s">
        <v>129</v>
      </c>
      <c r="F1142" s="19" t="s">
        <v>295</v>
      </c>
      <c r="G1142" s="19" t="s">
        <v>57</v>
      </c>
      <c r="H1142" s="24" t="s">
        <v>59</v>
      </c>
      <c r="I1142" s="25" t="s">
        <v>3395</v>
      </c>
      <c r="J1142" s="19"/>
      <c r="K1142" s="19" t="s">
        <v>74</v>
      </c>
      <c r="L1142" s="22"/>
      <c r="M1142" s="26"/>
      <c r="N1142" s="26"/>
      <c r="O1142" s="26"/>
      <c r="P1142" s="26"/>
      <c r="Q1142" s="26"/>
    </row>
    <row r="1143" ht="15.75" hidden="1" customHeight="1">
      <c r="A1143" s="31" t="s">
        <v>39</v>
      </c>
      <c r="B1143" s="9" t="s">
        <v>3392</v>
      </c>
      <c r="C1143" s="19" t="s">
        <v>1272</v>
      </c>
      <c r="D1143" s="22" t="s">
        <v>656</v>
      </c>
      <c r="E1143" s="19" t="s">
        <v>109</v>
      </c>
      <c r="F1143" s="19" t="s">
        <v>295</v>
      </c>
      <c r="G1143" s="19" t="s">
        <v>57</v>
      </c>
      <c r="H1143" s="22" t="s">
        <v>365</v>
      </c>
      <c r="I1143" s="25" t="s">
        <v>1422</v>
      </c>
      <c r="J1143" s="19" t="s">
        <v>1217</v>
      </c>
      <c r="K1143" s="19" t="s">
        <v>66</v>
      </c>
      <c r="L1143" s="22"/>
      <c r="M1143" s="26"/>
      <c r="N1143" s="26"/>
      <c r="O1143" s="26"/>
      <c r="P1143" s="26"/>
      <c r="Q1143" s="26"/>
    </row>
    <row r="1144" ht="15.75" customHeight="1">
      <c r="A1144" s="31" t="s">
        <v>39</v>
      </c>
      <c r="B1144" s="9" t="s">
        <v>3392</v>
      </c>
      <c r="C1144" s="19" t="s">
        <v>3396</v>
      </c>
      <c r="D1144" s="22" t="s">
        <v>3397</v>
      </c>
      <c r="E1144" s="19" t="s">
        <v>119</v>
      </c>
      <c r="F1144" s="19" t="s">
        <v>868</v>
      </c>
      <c r="G1144" s="19" t="s">
        <v>90</v>
      </c>
      <c r="H1144" s="22" t="s">
        <v>365</v>
      </c>
      <c r="I1144" s="25" t="s">
        <v>3398</v>
      </c>
      <c r="J1144" s="19"/>
      <c r="K1144" s="19" t="s">
        <v>117</v>
      </c>
      <c r="L1144" s="22" t="s">
        <v>3399</v>
      </c>
      <c r="M1144" s="26"/>
      <c r="N1144" s="26"/>
      <c r="O1144" s="26"/>
      <c r="P1144" s="26"/>
      <c r="Q1144" s="26"/>
    </row>
    <row r="1145" ht="15.75" hidden="1" customHeight="1">
      <c r="A1145" s="31" t="s">
        <v>39</v>
      </c>
      <c r="B1145" s="9" t="s">
        <v>3392</v>
      </c>
      <c r="C1145" s="19" t="s">
        <v>1050</v>
      </c>
      <c r="D1145" s="22" t="s">
        <v>3400</v>
      </c>
      <c r="E1145" s="19" t="s">
        <v>119</v>
      </c>
      <c r="F1145" s="19" t="s">
        <v>868</v>
      </c>
      <c r="G1145" s="19" t="s">
        <v>135</v>
      </c>
      <c r="H1145" s="24" t="s">
        <v>59</v>
      </c>
      <c r="I1145" s="25" t="s">
        <v>3401</v>
      </c>
      <c r="J1145" s="19" t="s">
        <v>635</v>
      </c>
      <c r="K1145" s="19" t="s">
        <v>78</v>
      </c>
      <c r="L1145" s="22" t="s">
        <v>723</v>
      </c>
      <c r="M1145" s="26"/>
      <c r="N1145" s="26"/>
      <c r="O1145" s="26"/>
      <c r="P1145" s="26"/>
      <c r="Q1145" s="26"/>
    </row>
    <row r="1146" ht="15.75" hidden="1" customHeight="1">
      <c r="A1146" s="31" t="s">
        <v>39</v>
      </c>
      <c r="B1146" s="9" t="s">
        <v>3392</v>
      </c>
      <c r="C1146" s="19" t="s">
        <v>1050</v>
      </c>
      <c r="D1146" s="22" t="s">
        <v>1350</v>
      </c>
      <c r="E1146" s="19" t="s">
        <v>119</v>
      </c>
      <c r="F1146" s="19" t="s">
        <v>868</v>
      </c>
      <c r="G1146" s="19" t="s">
        <v>135</v>
      </c>
      <c r="H1146" s="24" t="s">
        <v>59</v>
      </c>
      <c r="I1146" s="25" t="s">
        <v>3402</v>
      </c>
      <c r="J1146" s="19"/>
      <c r="K1146" s="19" t="s">
        <v>137</v>
      </c>
      <c r="L1146" s="22" t="s">
        <v>3403</v>
      </c>
      <c r="M1146" s="26"/>
      <c r="N1146" s="26"/>
      <c r="O1146" s="26"/>
      <c r="P1146" s="26"/>
      <c r="Q1146" s="26"/>
    </row>
    <row r="1147" ht="15.75" customHeight="1">
      <c r="A1147" s="31" t="s">
        <v>39</v>
      </c>
      <c r="B1147" s="9" t="s">
        <v>3392</v>
      </c>
      <c r="C1147" s="19" t="s">
        <v>3404</v>
      </c>
      <c r="D1147" s="22" t="s">
        <v>3405</v>
      </c>
      <c r="E1147" s="19" t="s">
        <v>119</v>
      </c>
      <c r="F1147" s="19" t="s">
        <v>186</v>
      </c>
      <c r="G1147" s="19" t="s">
        <v>90</v>
      </c>
      <c r="H1147" s="22" t="s">
        <v>365</v>
      </c>
      <c r="I1147" s="25" t="s">
        <v>3406</v>
      </c>
      <c r="J1147" s="19"/>
      <c r="K1147" s="19" t="s">
        <v>271</v>
      </c>
      <c r="L1147" s="22" t="s">
        <v>1731</v>
      </c>
      <c r="M1147" s="26"/>
      <c r="N1147" s="26"/>
      <c r="O1147" s="26"/>
      <c r="P1147" s="26"/>
      <c r="Q1147" s="26"/>
    </row>
    <row r="1148" ht="15.75" hidden="1" customHeight="1">
      <c r="A1148" s="31" t="s">
        <v>39</v>
      </c>
      <c r="B1148" s="9" t="s">
        <v>3392</v>
      </c>
      <c r="C1148" s="19" t="s">
        <v>1787</v>
      </c>
      <c r="D1148" s="22" t="s">
        <v>3407</v>
      </c>
      <c r="E1148" s="19" t="s">
        <v>109</v>
      </c>
      <c r="F1148" s="19" t="s">
        <v>295</v>
      </c>
      <c r="G1148" s="19" t="s">
        <v>57</v>
      </c>
      <c r="H1148" s="22" t="s">
        <v>365</v>
      </c>
      <c r="I1148" s="25" t="s">
        <v>1789</v>
      </c>
      <c r="J1148" s="19" t="s">
        <v>1217</v>
      </c>
      <c r="K1148" s="19" t="s">
        <v>66</v>
      </c>
      <c r="L1148" s="22"/>
      <c r="M1148" s="26"/>
      <c r="N1148" s="26"/>
      <c r="O1148" s="26"/>
      <c r="P1148" s="26"/>
      <c r="Q1148" s="26"/>
    </row>
    <row r="1149" ht="15.75" customHeight="1">
      <c r="A1149" s="31" t="s">
        <v>39</v>
      </c>
      <c r="B1149" s="9" t="s">
        <v>3392</v>
      </c>
      <c r="C1149" s="19" t="s">
        <v>3408</v>
      </c>
      <c r="D1149" s="22" t="s">
        <v>1156</v>
      </c>
      <c r="E1149" s="19" t="s">
        <v>119</v>
      </c>
      <c r="F1149" s="19" t="s">
        <v>3026</v>
      </c>
      <c r="G1149" s="19" t="s">
        <v>90</v>
      </c>
      <c r="H1149" s="22" t="s">
        <v>365</v>
      </c>
      <c r="I1149" s="25" t="s">
        <v>3409</v>
      </c>
      <c r="J1149" s="19" t="s">
        <v>1240</v>
      </c>
      <c r="K1149" s="19" t="s">
        <v>207</v>
      </c>
      <c r="L1149" s="22" t="s">
        <v>3410</v>
      </c>
      <c r="M1149" s="26"/>
      <c r="N1149" s="26"/>
      <c r="O1149" s="26"/>
      <c r="P1149" s="26"/>
      <c r="Q1149" s="26"/>
    </row>
    <row r="1150" ht="15.75" customHeight="1">
      <c r="A1150" s="31" t="s">
        <v>39</v>
      </c>
      <c r="B1150" s="9" t="s">
        <v>3392</v>
      </c>
      <c r="C1150" s="19" t="s">
        <v>3408</v>
      </c>
      <c r="D1150" s="22" t="s">
        <v>1209</v>
      </c>
      <c r="E1150" s="19" t="s">
        <v>119</v>
      </c>
      <c r="F1150" s="19" t="s">
        <v>3026</v>
      </c>
      <c r="G1150" s="19" t="s">
        <v>90</v>
      </c>
      <c r="H1150" s="22" t="s">
        <v>365</v>
      </c>
      <c r="I1150" s="25" t="s">
        <v>3411</v>
      </c>
      <c r="J1150" s="19" t="s">
        <v>1240</v>
      </c>
      <c r="K1150" s="19" t="s">
        <v>82</v>
      </c>
      <c r="L1150" s="22" t="s">
        <v>3412</v>
      </c>
      <c r="M1150" s="26"/>
      <c r="N1150" s="26"/>
      <c r="O1150" s="26"/>
      <c r="P1150" s="26"/>
      <c r="Q1150" s="26"/>
    </row>
    <row r="1151" ht="15.75" customHeight="1">
      <c r="A1151" s="31" t="s">
        <v>39</v>
      </c>
      <c r="B1151" s="9" t="s">
        <v>3392</v>
      </c>
      <c r="C1151" s="19" t="s">
        <v>3413</v>
      </c>
      <c r="D1151" s="22" t="s">
        <v>3414</v>
      </c>
      <c r="E1151" s="19" t="s">
        <v>119</v>
      </c>
      <c r="F1151" s="19" t="s">
        <v>3415</v>
      </c>
      <c r="G1151" s="19" t="s">
        <v>90</v>
      </c>
      <c r="H1151" s="22" t="s">
        <v>365</v>
      </c>
      <c r="I1151" s="25" t="s">
        <v>3416</v>
      </c>
      <c r="J1151" s="19" t="s">
        <v>337</v>
      </c>
      <c r="K1151" s="19" t="s">
        <v>66</v>
      </c>
      <c r="L1151" s="22"/>
      <c r="M1151" s="26"/>
      <c r="N1151" s="26"/>
      <c r="O1151" s="26"/>
      <c r="P1151" s="26"/>
      <c r="Q1151" s="26"/>
    </row>
    <row r="1152" ht="15.75" customHeight="1">
      <c r="A1152" s="31" t="s">
        <v>39</v>
      </c>
      <c r="B1152" s="9" t="s">
        <v>3392</v>
      </c>
      <c r="C1152" s="19" t="s">
        <v>3057</v>
      </c>
      <c r="D1152" s="22" t="s">
        <v>3417</v>
      </c>
      <c r="E1152" s="19" t="s">
        <v>119</v>
      </c>
      <c r="F1152" s="19" t="s">
        <v>868</v>
      </c>
      <c r="G1152" s="19" t="s">
        <v>90</v>
      </c>
      <c r="H1152" s="22" t="s">
        <v>365</v>
      </c>
      <c r="I1152" s="25" t="s">
        <v>3418</v>
      </c>
      <c r="J1152" s="19" t="s">
        <v>811</v>
      </c>
      <c r="K1152" s="19" t="s">
        <v>82</v>
      </c>
      <c r="L1152" s="22" t="s">
        <v>3403</v>
      </c>
      <c r="M1152" s="26"/>
      <c r="N1152" s="26"/>
      <c r="O1152" s="26"/>
      <c r="P1152" s="26"/>
      <c r="Q1152" s="26"/>
    </row>
    <row r="1153" ht="15.75" hidden="1" customHeight="1">
      <c r="A1153" s="31" t="s">
        <v>39</v>
      </c>
      <c r="B1153" s="9" t="s">
        <v>3392</v>
      </c>
      <c r="C1153" s="19" t="s">
        <v>191</v>
      </c>
      <c r="D1153" s="22" t="s">
        <v>3419</v>
      </c>
      <c r="E1153" s="19" t="s">
        <v>119</v>
      </c>
      <c r="F1153" s="19" t="s">
        <v>868</v>
      </c>
      <c r="G1153" s="19" t="s">
        <v>135</v>
      </c>
      <c r="H1153" s="24" t="s">
        <v>59</v>
      </c>
      <c r="I1153" s="25" t="s">
        <v>3420</v>
      </c>
      <c r="J1153" s="19" t="s">
        <v>337</v>
      </c>
      <c r="K1153" s="19" t="s">
        <v>78</v>
      </c>
      <c r="L1153" s="22" t="s">
        <v>723</v>
      </c>
      <c r="M1153" s="26"/>
      <c r="N1153" s="26"/>
      <c r="O1153" s="26"/>
      <c r="P1153" s="26"/>
      <c r="Q1153" s="26"/>
    </row>
    <row r="1154" ht="15.75" hidden="1" customHeight="1">
      <c r="A1154" s="31" t="s">
        <v>39</v>
      </c>
      <c r="B1154" s="9" t="s">
        <v>3392</v>
      </c>
      <c r="C1154" s="19" t="s">
        <v>191</v>
      </c>
      <c r="D1154" s="22" t="s">
        <v>2378</v>
      </c>
      <c r="E1154" s="19" t="s">
        <v>119</v>
      </c>
      <c r="F1154" s="19" t="s">
        <v>3421</v>
      </c>
      <c r="G1154" s="19" t="s">
        <v>135</v>
      </c>
      <c r="H1154" s="24" t="s">
        <v>59</v>
      </c>
      <c r="I1154" s="25" t="s">
        <v>3422</v>
      </c>
      <c r="J1154" s="19"/>
      <c r="K1154" s="19" t="s">
        <v>74</v>
      </c>
      <c r="L1154" s="22" t="s">
        <v>723</v>
      </c>
      <c r="M1154" s="26"/>
      <c r="N1154" s="26"/>
      <c r="O1154" s="26"/>
      <c r="P1154" s="26"/>
      <c r="Q1154" s="26"/>
    </row>
    <row r="1155" ht="15.75" hidden="1" customHeight="1">
      <c r="A1155" s="31" t="s">
        <v>39</v>
      </c>
      <c r="B1155" s="9" t="s">
        <v>3392</v>
      </c>
      <c r="C1155" s="19" t="s">
        <v>3423</v>
      </c>
      <c r="D1155" s="22" t="s">
        <v>3424</v>
      </c>
      <c r="E1155" s="19" t="s">
        <v>109</v>
      </c>
      <c r="F1155" s="19" t="s">
        <v>295</v>
      </c>
      <c r="G1155" s="19" t="s">
        <v>57</v>
      </c>
      <c r="H1155" s="22" t="s">
        <v>365</v>
      </c>
      <c r="I1155" s="25" t="s">
        <v>3425</v>
      </c>
      <c r="J1155" s="19"/>
      <c r="K1155" s="19" t="s">
        <v>184</v>
      </c>
      <c r="L1155" s="22" t="s">
        <v>3426</v>
      </c>
      <c r="M1155" s="26"/>
      <c r="N1155" s="26"/>
      <c r="O1155" s="26"/>
      <c r="P1155" s="26"/>
      <c r="Q1155" s="26"/>
    </row>
    <row r="1156" ht="15.75" customHeight="1">
      <c r="A1156" s="31" t="s">
        <v>39</v>
      </c>
      <c r="B1156" s="9" t="s">
        <v>3392</v>
      </c>
      <c r="C1156" s="19" t="s">
        <v>3092</v>
      </c>
      <c r="D1156" s="22" t="s">
        <v>3427</v>
      </c>
      <c r="E1156" s="19" t="s">
        <v>119</v>
      </c>
      <c r="F1156" s="19" t="s">
        <v>3094</v>
      </c>
      <c r="G1156" s="19" t="s">
        <v>90</v>
      </c>
      <c r="H1156" s="22" t="s">
        <v>365</v>
      </c>
      <c r="I1156" s="25" t="s">
        <v>3428</v>
      </c>
      <c r="J1156" s="19" t="s">
        <v>1850</v>
      </c>
      <c r="K1156" s="19" t="s">
        <v>66</v>
      </c>
      <c r="L1156" s="22"/>
      <c r="M1156" s="26"/>
      <c r="N1156" s="26"/>
      <c r="O1156" s="26"/>
      <c r="P1156" s="26"/>
      <c r="Q1156" s="26"/>
    </row>
    <row r="1157" ht="15.75" customHeight="1">
      <c r="A1157" s="31" t="s">
        <v>39</v>
      </c>
      <c r="B1157" s="9" t="s">
        <v>3392</v>
      </c>
      <c r="C1157" s="19" t="s">
        <v>3103</v>
      </c>
      <c r="D1157" s="22" t="s">
        <v>818</v>
      </c>
      <c r="E1157" s="19" t="s">
        <v>119</v>
      </c>
      <c r="F1157" s="19" t="s">
        <v>3105</v>
      </c>
      <c r="G1157" s="19" t="s">
        <v>90</v>
      </c>
      <c r="H1157" s="22" t="s">
        <v>365</v>
      </c>
      <c r="I1157" s="25" t="s">
        <v>3429</v>
      </c>
      <c r="J1157" s="19"/>
      <c r="K1157" s="19" t="s">
        <v>125</v>
      </c>
      <c r="L1157" s="22"/>
      <c r="M1157" s="26"/>
      <c r="N1157" s="26"/>
      <c r="O1157" s="26"/>
      <c r="P1157" s="26"/>
      <c r="Q1157" s="26"/>
    </row>
    <row r="1158" ht="15.75" customHeight="1">
      <c r="A1158" s="31" t="s">
        <v>39</v>
      </c>
      <c r="B1158" s="9" t="s">
        <v>3392</v>
      </c>
      <c r="C1158" s="19" t="s">
        <v>3430</v>
      </c>
      <c r="D1158" s="22" t="s">
        <v>3431</v>
      </c>
      <c r="E1158" s="19" t="s">
        <v>119</v>
      </c>
      <c r="F1158" s="19" t="s">
        <v>3432</v>
      </c>
      <c r="G1158" s="19" t="s">
        <v>90</v>
      </c>
      <c r="H1158" s="22" t="s">
        <v>365</v>
      </c>
      <c r="I1158" s="25" t="s">
        <v>3433</v>
      </c>
      <c r="J1158" s="19" t="s">
        <v>1211</v>
      </c>
      <c r="K1158" s="19" t="s">
        <v>66</v>
      </c>
      <c r="L1158" s="22"/>
      <c r="M1158" s="26"/>
      <c r="N1158" s="26"/>
      <c r="O1158" s="26"/>
      <c r="P1158" s="26"/>
      <c r="Q1158" s="26"/>
    </row>
    <row r="1159" ht="15.75" hidden="1" customHeight="1">
      <c r="A1159" s="31" t="s">
        <v>39</v>
      </c>
      <c r="B1159" s="9" t="s">
        <v>3392</v>
      </c>
      <c r="C1159" s="19" t="s">
        <v>3434</v>
      </c>
      <c r="D1159" s="22" t="s">
        <v>3435</v>
      </c>
      <c r="E1159" s="19" t="s">
        <v>109</v>
      </c>
      <c r="F1159" s="19" t="s">
        <v>295</v>
      </c>
      <c r="G1159" s="19" t="s">
        <v>57</v>
      </c>
      <c r="H1159" s="22" t="s">
        <v>365</v>
      </c>
      <c r="I1159" s="25" t="s">
        <v>3436</v>
      </c>
      <c r="J1159" s="19"/>
      <c r="K1159" s="19" t="s">
        <v>105</v>
      </c>
      <c r="L1159" s="22" t="s">
        <v>3437</v>
      </c>
      <c r="M1159" s="26"/>
      <c r="N1159" s="26"/>
      <c r="O1159" s="26"/>
      <c r="P1159" s="26"/>
      <c r="Q1159" s="26"/>
    </row>
    <row r="1160" ht="15.75" hidden="1" customHeight="1">
      <c r="A1160" s="31" t="s">
        <v>39</v>
      </c>
      <c r="B1160" s="9" t="s">
        <v>3392</v>
      </c>
      <c r="C1160" s="19" t="s">
        <v>1364</v>
      </c>
      <c r="D1160" s="22" t="s">
        <v>3438</v>
      </c>
      <c r="E1160" s="19" t="s">
        <v>119</v>
      </c>
      <c r="F1160" s="19" t="s">
        <v>488</v>
      </c>
      <c r="G1160" s="19" t="s">
        <v>135</v>
      </c>
      <c r="H1160" s="24" t="s">
        <v>59</v>
      </c>
      <c r="I1160" s="25" t="s">
        <v>3439</v>
      </c>
      <c r="J1160" s="19" t="s">
        <v>1850</v>
      </c>
      <c r="K1160" s="19" t="s">
        <v>78</v>
      </c>
      <c r="L1160" s="22" t="s">
        <v>320</v>
      </c>
      <c r="M1160" s="26"/>
      <c r="N1160" s="26"/>
      <c r="O1160" s="26"/>
      <c r="P1160" s="26"/>
      <c r="Q1160" s="26"/>
    </row>
    <row r="1161" ht="15.75" hidden="1" customHeight="1">
      <c r="A1161" s="31" t="s">
        <v>39</v>
      </c>
      <c r="B1161" s="9" t="s">
        <v>3440</v>
      </c>
      <c r="C1161" s="19" t="s">
        <v>3441</v>
      </c>
      <c r="D1161" s="22" t="s">
        <v>3442</v>
      </c>
      <c r="E1161" s="19" t="s">
        <v>109</v>
      </c>
      <c r="F1161" s="19" t="s">
        <v>295</v>
      </c>
      <c r="G1161" s="19" t="s">
        <v>135</v>
      </c>
      <c r="H1161" s="22" t="s">
        <v>155</v>
      </c>
      <c r="I1161" s="25" t="s">
        <v>3443</v>
      </c>
      <c r="J1161" s="19" t="s">
        <v>811</v>
      </c>
      <c r="K1161" s="19" t="s">
        <v>94</v>
      </c>
      <c r="L1161" s="22"/>
      <c r="M1161" s="26"/>
      <c r="N1161" s="26"/>
      <c r="O1161" s="26"/>
      <c r="P1161" s="26"/>
      <c r="Q1161" s="26"/>
    </row>
    <row r="1162" ht="15.75" hidden="1" customHeight="1">
      <c r="A1162" s="31" t="s">
        <v>39</v>
      </c>
      <c r="B1162" s="9" t="s">
        <v>3440</v>
      </c>
      <c r="C1162" s="19" t="s">
        <v>685</v>
      </c>
      <c r="D1162" s="22" t="s">
        <v>1362</v>
      </c>
      <c r="E1162" s="19" t="s">
        <v>109</v>
      </c>
      <c r="F1162" s="19" t="s">
        <v>335</v>
      </c>
      <c r="G1162" s="19" t="s">
        <v>135</v>
      </c>
      <c r="H1162" s="22" t="s">
        <v>365</v>
      </c>
      <c r="I1162" s="25" t="s">
        <v>3444</v>
      </c>
      <c r="J1162" s="19"/>
      <c r="K1162" s="19" t="s">
        <v>137</v>
      </c>
      <c r="L1162" s="22"/>
      <c r="M1162" s="26"/>
      <c r="N1162" s="26"/>
      <c r="O1162" s="26"/>
      <c r="P1162" s="26"/>
      <c r="Q1162" s="26"/>
    </row>
    <row r="1163" ht="15.75" hidden="1" customHeight="1">
      <c r="A1163" s="31" t="s">
        <v>39</v>
      </c>
      <c r="B1163" s="9" t="s">
        <v>3440</v>
      </c>
      <c r="C1163" s="19" t="s">
        <v>3445</v>
      </c>
      <c r="D1163" s="22" t="s">
        <v>656</v>
      </c>
      <c r="E1163" s="19" t="s">
        <v>109</v>
      </c>
      <c r="F1163" s="19" t="s">
        <v>295</v>
      </c>
      <c r="G1163" s="19" t="s">
        <v>135</v>
      </c>
      <c r="H1163" s="22" t="s">
        <v>155</v>
      </c>
      <c r="I1163" s="25" t="s">
        <v>3446</v>
      </c>
      <c r="J1163" s="19"/>
      <c r="K1163" s="19" t="s">
        <v>74</v>
      </c>
      <c r="L1163" s="22" t="s">
        <v>723</v>
      </c>
      <c r="M1163" s="26"/>
      <c r="N1163" s="26"/>
      <c r="O1163" s="26"/>
      <c r="P1163" s="26"/>
      <c r="Q1163" s="26"/>
    </row>
    <row r="1164" ht="15.75" hidden="1" customHeight="1">
      <c r="A1164" s="31" t="s">
        <v>39</v>
      </c>
      <c r="B1164" s="9" t="s">
        <v>3440</v>
      </c>
      <c r="C1164" s="19" t="s">
        <v>3447</v>
      </c>
      <c r="D1164" s="22" t="s">
        <v>3448</v>
      </c>
      <c r="E1164" s="19" t="s">
        <v>109</v>
      </c>
      <c r="F1164" s="19" t="s">
        <v>3449</v>
      </c>
      <c r="G1164" s="19" t="s">
        <v>135</v>
      </c>
      <c r="H1164" s="22" t="s">
        <v>365</v>
      </c>
      <c r="I1164" s="25" t="s">
        <v>3450</v>
      </c>
      <c r="J1164" s="19"/>
      <c r="K1164" s="19" t="s">
        <v>99</v>
      </c>
      <c r="L1164" s="22" t="s">
        <v>3451</v>
      </c>
      <c r="M1164" s="26"/>
      <c r="N1164" s="26"/>
      <c r="O1164" s="26"/>
      <c r="P1164" s="26"/>
      <c r="Q1164" s="26"/>
    </row>
    <row r="1165" ht="15.75" hidden="1" customHeight="1">
      <c r="A1165" s="31" t="s">
        <v>39</v>
      </c>
      <c r="B1165" s="9" t="s">
        <v>3440</v>
      </c>
      <c r="C1165" s="19" t="s">
        <v>2695</v>
      </c>
      <c r="D1165" s="22" t="s">
        <v>656</v>
      </c>
      <c r="E1165" s="19" t="s">
        <v>109</v>
      </c>
      <c r="F1165" s="19" t="s">
        <v>295</v>
      </c>
      <c r="G1165" s="19" t="s">
        <v>135</v>
      </c>
      <c r="H1165" s="22" t="s">
        <v>155</v>
      </c>
      <c r="I1165" s="25" t="s">
        <v>3452</v>
      </c>
      <c r="J1165" s="19"/>
      <c r="K1165" s="19" t="s">
        <v>74</v>
      </c>
      <c r="L1165" s="22" t="s">
        <v>723</v>
      </c>
      <c r="M1165" s="26"/>
      <c r="N1165" s="26"/>
      <c r="O1165" s="26"/>
      <c r="P1165" s="26"/>
      <c r="Q1165" s="26"/>
    </row>
    <row r="1166" ht="15.75" hidden="1" customHeight="1">
      <c r="A1166" s="31" t="s">
        <v>39</v>
      </c>
      <c r="B1166" s="9" t="s">
        <v>3440</v>
      </c>
      <c r="C1166" s="19" t="s">
        <v>3453</v>
      </c>
      <c r="D1166" s="22" t="s">
        <v>2799</v>
      </c>
      <c r="E1166" s="19" t="s">
        <v>109</v>
      </c>
      <c r="F1166" s="19" t="s">
        <v>295</v>
      </c>
      <c r="G1166" s="19" t="s">
        <v>135</v>
      </c>
      <c r="H1166" s="22" t="s">
        <v>155</v>
      </c>
      <c r="I1166" s="25" t="s">
        <v>3454</v>
      </c>
      <c r="J1166" s="19"/>
      <c r="K1166" s="19" t="s">
        <v>74</v>
      </c>
      <c r="L1166" s="22" t="s">
        <v>723</v>
      </c>
      <c r="M1166" s="26"/>
      <c r="N1166" s="26"/>
      <c r="O1166" s="26"/>
      <c r="P1166" s="26"/>
      <c r="Q1166" s="26"/>
    </row>
    <row r="1167" ht="15.75" hidden="1" customHeight="1">
      <c r="A1167" s="31" t="s">
        <v>39</v>
      </c>
      <c r="B1167" s="9" t="s">
        <v>3440</v>
      </c>
      <c r="C1167" s="19" t="s">
        <v>3455</v>
      </c>
      <c r="D1167" s="22" t="s">
        <v>3456</v>
      </c>
      <c r="E1167" s="19" t="s">
        <v>109</v>
      </c>
      <c r="F1167" s="19" t="s">
        <v>295</v>
      </c>
      <c r="G1167" s="19" t="s">
        <v>135</v>
      </c>
      <c r="H1167" s="22" t="s">
        <v>155</v>
      </c>
      <c r="I1167" s="25" t="s">
        <v>3457</v>
      </c>
      <c r="J1167" s="19"/>
      <c r="K1167" s="19" t="s">
        <v>74</v>
      </c>
      <c r="L1167" s="22" t="s">
        <v>723</v>
      </c>
      <c r="M1167" s="26"/>
      <c r="N1167" s="26"/>
      <c r="O1167" s="26"/>
      <c r="P1167" s="26"/>
      <c r="Q1167" s="26"/>
    </row>
    <row r="1168" ht="15.75" hidden="1" customHeight="1">
      <c r="A1168" s="31" t="s">
        <v>39</v>
      </c>
      <c r="B1168" s="9" t="s">
        <v>3440</v>
      </c>
      <c r="C1168" s="19" t="s">
        <v>1787</v>
      </c>
      <c r="D1168" s="22" t="s">
        <v>656</v>
      </c>
      <c r="E1168" s="19" t="s">
        <v>109</v>
      </c>
      <c r="F1168" s="19" t="s">
        <v>295</v>
      </c>
      <c r="G1168" s="19" t="s">
        <v>135</v>
      </c>
      <c r="H1168" s="22" t="s">
        <v>155</v>
      </c>
      <c r="I1168" s="25" t="s">
        <v>1789</v>
      </c>
      <c r="J1168" s="19"/>
      <c r="K1168" s="19" t="s">
        <v>74</v>
      </c>
      <c r="L1168" s="22" t="s">
        <v>723</v>
      </c>
      <c r="M1168" s="26"/>
      <c r="N1168" s="26"/>
      <c r="O1168" s="26"/>
      <c r="P1168" s="26"/>
      <c r="Q1168" s="26"/>
    </row>
    <row r="1169" ht="15.75" hidden="1" customHeight="1">
      <c r="A1169" s="31" t="s">
        <v>39</v>
      </c>
      <c r="B1169" s="9" t="s">
        <v>3440</v>
      </c>
      <c r="C1169" s="19" t="s">
        <v>1873</v>
      </c>
      <c r="D1169" s="22" t="s">
        <v>3458</v>
      </c>
      <c r="E1169" s="19" t="s">
        <v>109</v>
      </c>
      <c r="F1169" s="19" t="s">
        <v>335</v>
      </c>
      <c r="G1169" s="19" t="s">
        <v>135</v>
      </c>
      <c r="H1169" s="22" t="s">
        <v>365</v>
      </c>
      <c r="I1169" s="25" t="s">
        <v>3459</v>
      </c>
      <c r="J1169" s="19"/>
      <c r="K1169" s="19" t="s">
        <v>137</v>
      </c>
      <c r="L1169" s="22"/>
      <c r="M1169" s="26"/>
      <c r="N1169" s="26"/>
      <c r="O1169" s="26"/>
      <c r="P1169" s="26"/>
      <c r="Q1169" s="26"/>
    </row>
    <row r="1170" ht="15.75" hidden="1" customHeight="1">
      <c r="A1170" s="31" t="s">
        <v>39</v>
      </c>
      <c r="B1170" s="9" t="s">
        <v>3440</v>
      </c>
      <c r="C1170" s="19" t="s">
        <v>2117</v>
      </c>
      <c r="D1170" s="22" t="s">
        <v>3460</v>
      </c>
      <c r="E1170" s="19" t="s">
        <v>109</v>
      </c>
      <c r="F1170" s="19" t="s">
        <v>295</v>
      </c>
      <c r="G1170" s="19" t="s">
        <v>135</v>
      </c>
      <c r="H1170" s="22" t="s">
        <v>155</v>
      </c>
      <c r="I1170" s="25" t="s">
        <v>3461</v>
      </c>
      <c r="J1170" s="19" t="s">
        <v>3462</v>
      </c>
      <c r="K1170" s="19" t="s">
        <v>94</v>
      </c>
      <c r="L1170" s="22"/>
      <c r="M1170" s="26"/>
      <c r="N1170" s="26"/>
      <c r="O1170" s="26"/>
      <c r="P1170" s="26"/>
      <c r="Q1170" s="26"/>
    </row>
    <row r="1171" ht="15.75" hidden="1" customHeight="1">
      <c r="A1171" s="31" t="s">
        <v>39</v>
      </c>
      <c r="B1171" s="9" t="s">
        <v>3440</v>
      </c>
      <c r="C1171" s="19" t="s">
        <v>3463</v>
      </c>
      <c r="D1171" s="22" t="s">
        <v>3464</v>
      </c>
      <c r="E1171" s="19" t="s">
        <v>109</v>
      </c>
      <c r="F1171" s="19" t="s">
        <v>295</v>
      </c>
      <c r="G1171" s="19" t="s">
        <v>135</v>
      </c>
      <c r="H1171" s="22" t="s">
        <v>155</v>
      </c>
      <c r="I1171" s="25" t="s">
        <v>3465</v>
      </c>
      <c r="J1171" s="19"/>
      <c r="K1171" s="19" t="s">
        <v>100</v>
      </c>
      <c r="L1171" s="22" t="s">
        <v>3466</v>
      </c>
      <c r="M1171" s="26"/>
      <c r="N1171" s="26"/>
      <c r="O1171" s="26"/>
      <c r="P1171" s="26"/>
      <c r="Q1171" s="26"/>
    </row>
    <row r="1172" ht="15.75" hidden="1" customHeight="1">
      <c r="A1172" s="31" t="s">
        <v>39</v>
      </c>
      <c r="B1172" s="9" t="s">
        <v>3440</v>
      </c>
      <c r="C1172" s="19" t="s">
        <v>3467</v>
      </c>
      <c r="D1172" s="22" t="s">
        <v>3468</v>
      </c>
      <c r="E1172" s="19" t="s">
        <v>109</v>
      </c>
      <c r="F1172" s="19" t="s">
        <v>295</v>
      </c>
      <c r="G1172" s="19" t="s">
        <v>135</v>
      </c>
      <c r="H1172" s="22" t="s">
        <v>155</v>
      </c>
      <c r="I1172" s="25" t="s">
        <v>3469</v>
      </c>
      <c r="J1172" s="19"/>
      <c r="K1172" s="19" t="s">
        <v>100</v>
      </c>
      <c r="L1172" s="22" t="s">
        <v>3470</v>
      </c>
      <c r="M1172" s="26"/>
      <c r="N1172" s="26"/>
      <c r="O1172" s="26"/>
      <c r="P1172" s="26"/>
      <c r="Q1172" s="26"/>
    </row>
    <row r="1173" ht="15.75" hidden="1" customHeight="1">
      <c r="A1173" s="31" t="s">
        <v>39</v>
      </c>
      <c r="B1173" s="9" t="s">
        <v>3440</v>
      </c>
      <c r="C1173" s="19" t="s">
        <v>3471</v>
      </c>
      <c r="D1173" s="22" t="s">
        <v>2799</v>
      </c>
      <c r="E1173" s="19" t="s">
        <v>109</v>
      </c>
      <c r="F1173" s="19" t="s">
        <v>295</v>
      </c>
      <c r="G1173" s="19" t="s">
        <v>135</v>
      </c>
      <c r="H1173" s="22" t="s">
        <v>155</v>
      </c>
      <c r="I1173" s="25" t="s">
        <v>3472</v>
      </c>
      <c r="J1173" s="19"/>
      <c r="K1173" s="19" t="s">
        <v>13</v>
      </c>
      <c r="L1173" s="22" t="s">
        <v>3473</v>
      </c>
      <c r="M1173" s="26"/>
      <c r="N1173" s="26"/>
      <c r="O1173" s="26"/>
      <c r="P1173" s="26"/>
      <c r="Q1173" s="26"/>
    </row>
    <row r="1174" ht="15.75" hidden="1" customHeight="1">
      <c r="A1174" s="31" t="s">
        <v>39</v>
      </c>
      <c r="B1174" s="9" t="s">
        <v>3440</v>
      </c>
      <c r="C1174" s="19" t="s">
        <v>3474</v>
      </c>
      <c r="D1174" s="22" t="s">
        <v>656</v>
      </c>
      <c r="E1174" s="19" t="s">
        <v>109</v>
      </c>
      <c r="F1174" s="19" t="s">
        <v>295</v>
      </c>
      <c r="G1174" s="19" t="s">
        <v>135</v>
      </c>
      <c r="H1174" s="22" t="s">
        <v>155</v>
      </c>
      <c r="I1174" s="25" t="s">
        <v>3475</v>
      </c>
      <c r="J1174" s="19"/>
      <c r="K1174" s="19" t="s">
        <v>74</v>
      </c>
      <c r="L1174" s="22" t="s">
        <v>723</v>
      </c>
      <c r="M1174" s="26"/>
      <c r="N1174" s="26"/>
      <c r="O1174" s="26"/>
      <c r="P1174" s="26"/>
      <c r="Q1174" s="26"/>
    </row>
    <row r="1175" ht="15.75" hidden="1" customHeight="1">
      <c r="A1175" s="31" t="s">
        <v>39</v>
      </c>
      <c r="B1175" s="9" t="s">
        <v>3440</v>
      </c>
      <c r="C1175" s="19" t="s">
        <v>3476</v>
      </c>
      <c r="D1175" s="22" t="s">
        <v>656</v>
      </c>
      <c r="E1175" s="19" t="s">
        <v>109</v>
      </c>
      <c r="F1175" s="19" t="s">
        <v>295</v>
      </c>
      <c r="G1175" s="19" t="s">
        <v>135</v>
      </c>
      <c r="H1175" s="22" t="s">
        <v>155</v>
      </c>
      <c r="I1175" s="25" t="s">
        <v>3477</v>
      </c>
      <c r="J1175" s="19"/>
      <c r="K1175" s="19" t="s">
        <v>74</v>
      </c>
      <c r="L1175" s="22" t="s">
        <v>723</v>
      </c>
      <c r="M1175" s="26"/>
      <c r="N1175" s="26"/>
      <c r="O1175" s="26"/>
      <c r="P1175" s="26"/>
      <c r="Q1175" s="26"/>
    </row>
    <row r="1176" ht="15.75" hidden="1" customHeight="1">
      <c r="A1176" s="31" t="s">
        <v>39</v>
      </c>
      <c r="B1176" s="9" t="s">
        <v>3440</v>
      </c>
      <c r="C1176" s="19" t="s">
        <v>3478</v>
      </c>
      <c r="D1176" s="22" t="s">
        <v>656</v>
      </c>
      <c r="E1176" s="19" t="s">
        <v>109</v>
      </c>
      <c r="F1176" s="19" t="s">
        <v>335</v>
      </c>
      <c r="G1176" s="19" t="s">
        <v>135</v>
      </c>
      <c r="H1176" s="22" t="s">
        <v>365</v>
      </c>
      <c r="I1176" s="25" t="s">
        <v>3479</v>
      </c>
      <c r="J1176" s="19" t="s">
        <v>3480</v>
      </c>
      <c r="K1176" s="19" t="s">
        <v>94</v>
      </c>
      <c r="L1176" s="22" t="s">
        <v>3481</v>
      </c>
      <c r="M1176" s="26"/>
      <c r="N1176" s="26"/>
      <c r="O1176" s="26"/>
      <c r="P1176" s="26"/>
      <c r="Q1176" s="26"/>
    </row>
    <row r="1177" ht="15.75" hidden="1" customHeight="1">
      <c r="A1177" s="31" t="s">
        <v>39</v>
      </c>
      <c r="B1177" s="9" t="s">
        <v>3440</v>
      </c>
      <c r="C1177" s="19" t="s">
        <v>3482</v>
      </c>
      <c r="D1177" s="22" t="s">
        <v>3483</v>
      </c>
      <c r="E1177" s="19" t="s">
        <v>109</v>
      </c>
      <c r="F1177" s="19" t="s">
        <v>295</v>
      </c>
      <c r="G1177" s="19" t="s">
        <v>135</v>
      </c>
      <c r="H1177" s="22" t="s">
        <v>155</v>
      </c>
      <c r="I1177" s="25" t="s">
        <v>3484</v>
      </c>
      <c r="J1177" s="19"/>
      <c r="K1177" s="19" t="s">
        <v>100</v>
      </c>
      <c r="L1177" s="22" t="s">
        <v>3485</v>
      </c>
      <c r="M1177" s="26"/>
      <c r="N1177" s="26"/>
      <c r="O1177" s="26"/>
      <c r="P1177" s="26"/>
      <c r="Q1177" s="26"/>
    </row>
    <row r="1178" ht="15.75" hidden="1" customHeight="1">
      <c r="A1178" s="31" t="s">
        <v>39</v>
      </c>
      <c r="B1178" s="9" t="s">
        <v>3440</v>
      </c>
      <c r="C1178" s="19" t="s">
        <v>3486</v>
      </c>
      <c r="D1178" s="22" t="s">
        <v>3487</v>
      </c>
      <c r="E1178" s="19" t="s">
        <v>109</v>
      </c>
      <c r="F1178" s="19" t="s">
        <v>295</v>
      </c>
      <c r="G1178" s="19" t="s">
        <v>135</v>
      </c>
      <c r="H1178" s="22" t="s">
        <v>155</v>
      </c>
      <c r="I1178" s="25" t="s">
        <v>3488</v>
      </c>
      <c r="J1178" s="19"/>
      <c r="K1178" s="19" t="s">
        <v>100</v>
      </c>
      <c r="L1178" s="22" t="s">
        <v>3489</v>
      </c>
      <c r="M1178" s="26"/>
      <c r="N1178" s="26"/>
      <c r="O1178" s="26"/>
      <c r="P1178" s="26"/>
      <c r="Q1178" s="26"/>
    </row>
    <row r="1179" ht="15.75" hidden="1" customHeight="1">
      <c r="A1179" s="31" t="s">
        <v>39</v>
      </c>
      <c r="B1179" s="9" t="s">
        <v>3440</v>
      </c>
      <c r="C1179" s="19" t="s">
        <v>3148</v>
      </c>
      <c r="D1179" s="22" t="s">
        <v>3490</v>
      </c>
      <c r="E1179" s="19" t="s">
        <v>109</v>
      </c>
      <c r="F1179" s="19" t="s">
        <v>3150</v>
      </c>
      <c r="G1179" s="19" t="s">
        <v>135</v>
      </c>
      <c r="H1179" s="22" t="s">
        <v>365</v>
      </c>
      <c r="I1179" s="25" t="s">
        <v>3151</v>
      </c>
      <c r="J1179" s="19" t="s">
        <v>140</v>
      </c>
      <c r="K1179" s="19" t="s">
        <v>99</v>
      </c>
      <c r="L1179" s="22" t="s">
        <v>3491</v>
      </c>
      <c r="M1179" s="26"/>
      <c r="N1179" s="26"/>
      <c r="O1179" s="26"/>
      <c r="P1179" s="26"/>
      <c r="Q1179" s="26"/>
    </row>
    <row r="1180" ht="15.75" hidden="1" customHeight="1">
      <c r="A1180" s="31" t="s">
        <v>39</v>
      </c>
      <c r="B1180" s="9" t="s">
        <v>3440</v>
      </c>
      <c r="C1180" s="19" t="s">
        <v>3492</v>
      </c>
      <c r="D1180" s="22" t="s">
        <v>3493</v>
      </c>
      <c r="E1180" s="19" t="s">
        <v>109</v>
      </c>
      <c r="F1180" s="19" t="s">
        <v>295</v>
      </c>
      <c r="G1180" s="19" t="s">
        <v>135</v>
      </c>
      <c r="H1180" s="22" t="s">
        <v>155</v>
      </c>
      <c r="I1180" s="25" t="s">
        <v>3494</v>
      </c>
      <c r="J1180" s="19"/>
      <c r="K1180" s="19" t="s">
        <v>74</v>
      </c>
      <c r="L1180" s="22" t="s">
        <v>723</v>
      </c>
      <c r="M1180" s="26"/>
      <c r="N1180" s="26"/>
      <c r="O1180" s="26"/>
      <c r="P1180" s="26"/>
      <c r="Q1180" s="26"/>
    </row>
    <row r="1181" ht="15.75" hidden="1" customHeight="1">
      <c r="A1181" s="31" t="s">
        <v>39</v>
      </c>
      <c r="B1181" s="9" t="s">
        <v>3440</v>
      </c>
      <c r="C1181" s="19" t="s">
        <v>3495</v>
      </c>
      <c r="D1181" s="22" t="s">
        <v>3496</v>
      </c>
      <c r="E1181" s="19" t="s">
        <v>109</v>
      </c>
      <c r="F1181" s="19" t="s">
        <v>295</v>
      </c>
      <c r="G1181" s="19" t="s">
        <v>135</v>
      </c>
      <c r="H1181" s="22" t="s">
        <v>155</v>
      </c>
      <c r="I1181" s="25" t="s">
        <v>3497</v>
      </c>
      <c r="J1181" s="19"/>
      <c r="K1181" s="19" t="s">
        <v>100</v>
      </c>
      <c r="L1181" s="22" t="s">
        <v>3466</v>
      </c>
      <c r="M1181" s="26"/>
      <c r="N1181" s="26"/>
      <c r="O1181" s="26"/>
      <c r="P1181" s="26"/>
      <c r="Q1181" s="26"/>
    </row>
    <row r="1182" ht="15.75" hidden="1" customHeight="1">
      <c r="A1182" s="31" t="s">
        <v>39</v>
      </c>
      <c r="B1182" s="9" t="s">
        <v>3440</v>
      </c>
      <c r="C1182" s="19" t="s">
        <v>3498</v>
      </c>
      <c r="D1182" s="22" t="s">
        <v>3499</v>
      </c>
      <c r="E1182" s="19" t="s">
        <v>109</v>
      </c>
      <c r="F1182" s="19" t="s">
        <v>295</v>
      </c>
      <c r="G1182" s="19" t="s">
        <v>135</v>
      </c>
      <c r="H1182" s="22" t="s">
        <v>155</v>
      </c>
      <c r="I1182" s="25" t="s">
        <v>3500</v>
      </c>
      <c r="J1182" s="19"/>
      <c r="K1182" s="19" t="s">
        <v>100</v>
      </c>
      <c r="L1182" s="22" t="s">
        <v>3501</v>
      </c>
      <c r="M1182" s="26"/>
      <c r="N1182" s="26"/>
      <c r="O1182" s="26"/>
      <c r="P1182" s="26"/>
      <c r="Q1182" s="26"/>
    </row>
    <row r="1183" ht="15.75" hidden="1" customHeight="1">
      <c r="A1183" s="31" t="s">
        <v>39</v>
      </c>
      <c r="B1183" s="9" t="s">
        <v>3440</v>
      </c>
      <c r="C1183" s="19" t="s">
        <v>187</v>
      </c>
      <c r="D1183" s="22" t="s">
        <v>1178</v>
      </c>
      <c r="E1183" s="19" t="s">
        <v>109</v>
      </c>
      <c r="F1183" s="19" t="s">
        <v>335</v>
      </c>
      <c r="G1183" s="19" t="s">
        <v>142</v>
      </c>
      <c r="H1183" s="22" t="s">
        <v>365</v>
      </c>
      <c r="I1183" s="25" t="s">
        <v>1181</v>
      </c>
      <c r="J1183" s="19" t="s">
        <v>337</v>
      </c>
      <c r="K1183" s="19" t="s">
        <v>145</v>
      </c>
      <c r="L1183" s="22"/>
      <c r="M1183" s="26"/>
      <c r="N1183" s="26"/>
      <c r="O1183" s="26"/>
      <c r="P1183" s="26"/>
      <c r="Q1183" s="26"/>
    </row>
    <row r="1184" ht="15.75" hidden="1" customHeight="1">
      <c r="A1184" s="31" t="s">
        <v>39</v>
      </c>
      <c r="B1184" s="9" t="s">
        <v>3440</v>
      </c>
      <c r="C1184" s="19" t="s">
        <v>187</v>
      </c>
      <c r="D1184" s="22" t="s">
        <v>1183</v>
      </c>
      <c r="E1184" s="19" t="s">
        <v>109</v>
      </c>
      <c r="F1184" s="19" t="s">
        <v>335</v>
      </c>
      <c r="G1184" s="19" t="s">
        <v>142</v>
      </c>
      <c r="H1184" s="22" t="s">
        <v>365</v>
      </c>
      <c r="I1184" s="25" t="s">
        <v>1184</v>
      </c>
      <c r="J1184" s="19" t="s">
        <v>337</v>
      </c>
      <c r="K1184" s="19" t="s">
        <v>145</v>
      </c>
      <c r="L1184" s="22" t="s">
        <v>3502</v>
      </c>
      <c r="M1184" s="26"/>
      <c r="N1184" s="26"/>
      <c r="O1184" s="26"/>
      <c r="P1184" s="26"/>
      <c r="Q1184" s="26"/>
    </row>
    <row r="1185" ht="15.75" hidden="1" customHeight="1">
      <c r="A1185" s="31" t="s">
        <v>39</v>
      </c>
      <c r="B1185" s="9" t="s">
        <v>3440</v>
      </c>
      <c r="C1185" s="19" t="s">
        <v>187</v>
      </c>
      <c r="D1185" s="22" t="s">
        <v>1188</v>
      </c>
      <c r="E1185" s="19" t="s">
        <v>109</v>
      </c>
      <c r="F1185" s="19" t="s">
        <v>335</v>
      </c>
      <c r="G1185" s="19" t="s">
        <v>142</v>
      </c>
      <c r="H1185" s="22" t="s">
        <v>365</v>
      </c>
      <c r="I1185" s="25" t="s">
        <v>1189</v>
      </c>
      <c r="J1185" s="19" t="s">
        <v>337</v>
      </c>
      <c r="K1185" s="19" t="s">
        <v>145</v>
      </c>
      <c r="L1185" s="22"/>
      <c r="M1185" s="26"/>
      <c r="N1185" s="26"/>
      <c r="O1185" s="26"/>
      <c r="P1185" s="26"/>
      <c r="Q1185" s="26"/>
    </row>
    <row r="1186" ht="15.75" hidden="1" customHeight="1">
      <c r="A1186" s="31" t="s">
        <v>39</v>
      </c>
      <c r="B1186" s="9" t="s">
        <v>3440</v>
      </c>
      <c r="C1186" s="19" t="s">
        <v>3503</v>
      </c>
      <c r="D1186" s="22" t="s">
        <v>3504</v>
      </c>
      <c r="E1186" s="19" t="s">
        <v>109</v>
      </c>
      <c r="F1186" s="19" t="s">
        <v>335</v>
      </c>
      <c r="G1186" s="19" t="s">
        <v>142</v>
      </c>
      <c r="H1186" s="22" t="s">
        <v>365</v>
      </c>
      <c r="I1186" s="25" t="s">
        <v>3505</v>
      </c>
      <c r="J1186" s="19"/>
      <c r="K1186" s="19" t="s">
        <v>99</v>
      </c>
      <c r="L1186" s="22" t="s">
        <v>539</v>
      </c>
      <c r="M1186" s="26"/>
      <c r="N1186" s="26"/>
      <c r="O1186" s="26"/>
      <c r="P1186" s="26"/>
      <c r="Q1186" s="26"/>
    </row>
    <row r="1187" ht="15.75" hidden="1" customHeight="1">
      <c r="A1187" s="31" t="s">
        <v>39</v>
      </c>
      <c r="B1187" s="9" t="s">
        <v>3440</v>
      </c>
      <c r="C1187" s="19" t="s">
        <v>3506</v>
      </c>
      <c r="D1187" s="22" t="s">
        <v>3507</v>
      </c>
      <c r="E1187" s="19" t="s">
        <v>109</v>
      </c>
      <c r="F1187" s="19" t="s">
        <v>295</v>
      </c>
      <c r="G1187" s="19" t="s">
        <v>135</v>
      </c>
      <c r="H1187" s="22" t="s">
        <v>155</v>
      </c>
      <c r="I1187" s="25" t="s">
        <v>3508</v>
      </c>
      <c r="J1187" s="19" t="s">
        <v>140</v>
      </c>
      <c r="K1187" s="19" t="s">
        <v>13</v>
      </c>
      <c r="L1187" s="22" t="s">
        <v>890</v>
      </c>
      <c r="M1187" s="26"/>
      <c r="N1187" s="26"/>
      <c r="O1187" s="26"/>
      <c r="P1187" s="26"/>
      <c r="Q1187" s="26"/>
    </row>
    <row r="1188" ht="15.75" hidden="1" customHeight="1">
      <c r="A1188" s="31" t="s">
        <v>39</v>
      </c>
      <c r="B1188" s="9" t="s">
        <v>3440</v>
      </c>
      <c r="C1188" s="19" t="s">
        <v>3509</v>
      </c>
      <c r="D1188" s="22" t="s">
        <v>2415</v>
      </c>
      <c r="E1188" s="19" t="s">
        <v>119</v>
      </c>
      <c r="F1188" s="19" t="s">
        <v>659</v>
      </c>
      <c r="G1188" s="19" t="s">
        <v>135</v>
      </c>
      <c r="H1188" s="22" t="s">
        <v>155</v>
      </c>
      <c r="I1188" s="25" t="s">
        <v>3510</v>
      </c>
      <c r="J1188" s="19" t="s">
        <v>926</v>
      </c>
      <c r="K1188" s="19" t="s">
        <v>78</v>
      </c>
      <c r="L1188" s="22" t="s">
        <v>723</v>
      </c>
      <c r="M1188" s="26"/>
      <c r="N1188" s="26"/>
      <c r="O1188" s="26"/>
      <c r="P1188" s="26"/>
      <c r="Q1188" s="26"/>
    </row>
    <row r="1189" ht="15.75" hidden="1" customHeight="1">
      <c r="A1189" s="31" t="s">
        <v>39</v>
      </c>
      <c r="B1189" s="9" t="s">
        <v>3511</v>
      </c>
      <c r="C1189" s="19" t="s">
        <v>1078</v>
      </c>
      <c r="D1189" s="22" t="s">
        <v>3512</v>
      </c>
      <c r="E1189" s="19" t="s">
        <v>115</v>
      </c>
      <c r="F1189" s="19" t="s">
        <v>488</v>
      </c>
      <c r="G1189" s="19" t="s">
        <v>135</v>
      </c>
      <c r="H1189" s="24" t="s">
        <v>59</v>
      </c>
      <c r="I1189" s="25" t="s">
        <v>1080</v>
      </c>
      <c r="J1189" s="19" t="s">
        <v>319</v>
      </c>
      <c r="K1189" s="19" t="s">
        <v>78</v>
      </c>
      <c r="L1189" s="22" t="s">
        <v>723</v>
      </c>
      <c r="M1189" s="26"/>
      <c r="N1189" s="26"/>
      <c r="O1189" s="26"/>
      <c r="P1189" s="26"/>
      <c r="Q1189" s="26"/>
    </row>
    <row r="1190" ht="15.75" hidden="1" customHeight="1">
      <c r="A1190" s="31" t="s">
        <v>39</v>
      </c>
      <c r="B1190" s="9" t="s">
        <v>3511</v>
      </c>
      <c r="C1190" s="19" t="s">
        <v>1078</v>
      </c>
      <c r="D1190" s="22" t="s">
        <v>3513</v>
      </c>
      <c r="E1190" s="19" t="s">
        <v>115</v>
      </c>
      <c r="F1190" s="19" t="s">
        <v>1382</v>
      </c>
      <c r="G1190" s="19" t="s">
        <v>135</v>
      </c>
      <c r="H1190" s="24" t="s">
        <v>59</v>
      </c>
      <c r="I1190" s="25" t="s">
        <v>1080</v>
      </c>
      <c r="J1190" s="19" t="s">
        <v>319</v>
      </c>
      <c r="K1190" s="19" t="s">
        <v>78</v>
      </c>
      <c r="L1190" s="22" t="s">
        <v>723</v>
      </c>
      <c r="M1190" s="26"/>
      <c r="N1190" s="26"/>
      <c r="O1190" s="26"/>
      <c r="P1190" s="26"/>
      <c r="Q1190" s="26"/>
    </row>
    <row r="1191" ht="15.75" hidden="1" customHeight="1">
      <c r="A1191" s="31" t="s">
        <v>39</v>
      </c>
      <c r="B1191" s="9" t="s">
        <v>3511</v>
      </c>
      <c r="C1191" s="19" t="s">
        <v>2685</v>
      </c>
      <c r="D1191" s="22" t="s">
        <v>3514</v>
      </c>
      <c r="E1191" s="19" t="s">
        <v>115</v>
      </c>
      <c r="F1191" s="19" t="s">
        <v>55</v>
      </c>
      <c r="G1191" s="19" t="s">
        <v>142</v>
      </c>
      <c r="H1191" s="24" t="s">
        <v>59</v>
      </c>
      <c r="I1191" s="25" t="s">
        <v>3515</v>
      </c>
      <c r="J1191" s="19"/>
      <c r="K1191" s="19" t="s">
        <v>40</v>
      </c>
      <c r="L1191" s="22" t="s">
        <v>3516</v>
      </c>
      <c r="M1191" s="26"/>
      <c r="N1191" s="26"/>
      <c r="O1191" s="26"/>
      <c r="P1191" s="26"/>
      <c r="Q1191" s="26"/>
    </row>
    <row r="1192" ht="15.75" customHeight="1">
      <c r="A1192" s="31" t="s">
        <v>39</v>
      </c>
      <c r="B1192" s="9" t="s">
        <v>3511</v>
      </c>
      <c r="C1192" s="19" t="s">
        <v>2976</v>
      </c>
      <c r="D1192" s="22" t="s">
        <v>3517</v>
      </c>
      <c r="E1192" s="19" t="s">
        <v>115</v>
      </c>
      <c r="F1192" s="19" t="s">
        <v>3518</v>
      </c>
      <c r="G1192" s="19" t="s">
        <v>90</v>
      </c>
      <c r="H1192" s="22" t="s">
        <v>365</v>
      </c>
      <c r="I1192" s="25" t="s">
        <v>3519</v>
      </c>
      <c r="J1192" s="19"/>
      <c r="K1192" s="19" t="s">
        <v>184</v>
      </c>
      <c r="L1192" s="22" t="s">
        <v>3520</v>
      </c>
      <c r="M1192" s="26"/>
      <c r="N1192" s="26"/>
      <c r="O1192" s="26"/>
      <c r="P1192" s="26"/>
      <c r="Q1192" s="26"/>
    </row>
    <row r="1193" ht="15.75" customHeight="1">
      <c r="A1193" s="31" t="s">
        <v>39</v>
      </c>
      <c r="B1193" s="9" t="s">
        <v>3511</v>
      </c>
      <c r="C1193" s="19" t="s">
        <v>2976</v>
      </c>
      <c r="D1193" s="22" t="s">
        <v>3521</v>
      </c>
      <c r="E1193" s="19" t="s">
        <v>115</v>
      </c>
      <c r="F1193" s="19" t="s">
        <v>3522</v>
      </c>
      <c r="G1193" s="19" t="s">
        <v>90</v>
      </c>
      <c r="H1193" s="22" t="s">
        <v>365</v>
      </c>
      <c r="I1193" s="25" t="s">
        <v>3523</v>
      </c>
      <c r="J1193" s="19" t="s">
        <v>319</v>
      </c>
      <c r="K1193" s="19" t="s">
        <v>40</v>
      </c>
      <c r="L1193" s="22" t="s">
        <v>3524</v>
      </c>
      <c r="M1193" s="26"/>
      <c r="N1193" s="26"/>
      <c r="O1193" s="26"/>
      <c r="P1193" s="26"/>
      <c r="Q1193" s="26"/>
    </row>
    <row r="1194" ht="15.75" hidden="1" customHeight="1">
      <c r="A1194" s="31" t="s">
        <v>39</v>
      </c>
      <c r="B1194" s="9" t="s">
        <v>3511</v>
      </c>
      <c r="C1194" s="19" t="s">
        <v>3224</v>
      </c>
      <c r="D1194" s="22" t="s">
        <v>3525</v>
      </c>
      <c r="E1194" s="19" t="s">
        <v>124</v>
      </c>
      <c r="F1194" s="19" t="s">
        <v>2201</v>
      </c>
      <c r="G1194" s="19" t="s">
        <v>135</v>
      </c>
      <c r="H1194" s="22" t="s">
        <v>365</v>
      </c>
      <c r="I1194" s="25" t="s">
        <v>3526</v>
      </c>
      <c r="J1194" s="19" t="s">
        <v>1850</v>
      </c>
      <c r="K1194" s="19" t="s">
        <v>82</v>
      </c>
      <c r="L1194" s="22" t="s">
        <v>3527</v>
      </c>
      <c r="M1194" s="26"/>
      <c r="N1194" s="26"/>
      <c r="O1194" s="26"/>
      <c r="P1194" s="26"/>
      <c r="Q1194" s="26"/>
    </row>
    <row r="1195" ht="15.75" customHeight="1">
      <c r="A1195" s="31" t="s">
        <v>39</v>
      </c>
      <c r="B1195" s="9" t="s">
        <v>3511</v>
      </c>
      <c r="C1195" s="19" t="s">
        <v>3528</v>
      </c>
      <c r="D1195" s="22" t="s">
        <v>3529</v>
      </c>
      <c r="E1195" s="19" t="s">
        <v>115</v>
      </c>
      <c r="F1195" s="19" t="s">
        <v>1094</v>
      </c>
      <c r="G1195" s="19" t="s">
        <v>90</v>
      </c>
      <c r="H1195" s="22" t="s">
        <v>365</v>
      </c>
      <c r="I1195" s="25" t="s">
        <v>3530</v>
      </c>
      <c r="J1195" s="19"/>
      <c r="K1195" s="19" t="s">
        <v>100</v>
      </c>
      <c r="L1195" s="22" t="s">
        <v>3531</v>
      </c>
      <c r="M1195" s="26"/>
      <c r="N1195" s="26"/>
      <c r="O1195" s="26"/>
      <c r="P1195" s="26"/>
      <c r="Q1195" s="26"/>
    </row>
    <row r="1196" ht="15.75" hidden="1" customHeight="1">
      <c r="A1196" s="31" t="s">
        <v>39</v>
      </c>
      <c r="B1196" s="9" t="s">
        <v>3511</v>
      </c>
      <c r="C1196" s="19" t="s">
        <v>3532</v>
      </c>
      <c r="D1196" s="22" t="s">
        <v>3533</v>
      </c>
      <c r="E1196" s="19" t="s">
        <v>124</v>
      </c>
      <c r="F1196" s="19" t="s">
        <v>2470</v>
      </c>
      <c r="G1196" s="19" t="s">
        <v>135</v>
      </c>
      <c r="H1196" s="22" t="s">
        <v>365</v>
      </c>
      <c r="I1196" s="25" t="s">
        <v>3534</v>
      </c>
      <c r="J1196" s="19" t="s">
        <v>140</v>
      </c>
      <c r="K1196" s="19" t="s">
        <v>13</v>
      </c>
      <c r="L1196" s="22" t="s">
        <v>471</v>
      </c>
      <c r="M1196" s="26"/>
      <c r="N1196" s="26"/>
      <c r="O1196" s="26"/>
      <c r="P1196" s="26"/>
      <c r="Q1196" s="26"/>
    </row>
    <row r="1197" ht="15.75" hidden="1" customHeight="1">
      <c r="A1197" s="31" t="s">
        <v>39</v>
      </c>
      <c r="B1197" s="9" t="s">
        <v>3511</v>
      </c>
      <c r="C1197" s="19" t="s">
        <v>194</v>
      </c>
      <c r="D1197" s="22" t="s">
        <v>3535</v>
      </c>
      <c r="E1197" s="19" t="s">
        <v>115</v>
      </c>
      <c r="F1197" s="19" t="s">
        <v>1382</v>
      </c>
      <c r="G1197" s="19" t="s">
        <v>135</v>
      </c>
      <c r="H1197" s="24" t="s">
        <v>59</v>
      </c>
      <c r="I1197" s="25" t="s">
        <v>1457</v>
      </c>
      <c r="J1197" s="19" t="s">
        <v>140</v>
      </c>
      <c r="K1197" s="19" t="s">
        <v>13</v>
      </c>
      <c r="L1197" s="22" t="s">
        <v>890</v>
      </c>
      <c r="M1197" s="26"/>
      <c r="N1197" s="26"/>
      <c r="O1197" s="26"/>
      <c r="P1197" s="26"/>
      <c r="Q1197" s="26"/>
    </row>
    <row r="1198" ht="15.75" hidden="1" customHeight="1">
      <c r="A1198" s="31" t="s">
        <v>39</v>
      </c>
      <c r="B1198" s="9" t="s">
        <v>3511</v>
      </c>
      <c r="C1198" s="19" t="s">
        <v>194</v>
      </c>
      <c r="D1198" s="22" t="s">
        <v>3536</v>
      </c>
      <c r="E1198" s="19" t="s">
        <v>115</v>
      </c>
      <c r="F1198" s="19" t="s">
        <v>241</v>
      </c>
      <c r="G1198" s="19" t="s">
        <v>135</v>
      </c>
      <c r="H1198" s="24" t="s">
        <v>59</v>
      </c>
      <c r="I1198" s="25" t="s">
        <v>3537</v>
      </c>
      <c r="J1198" s="19"/>
      <c r="K1198" s="19" t="s">
        <v>74</v>
      </c>
      <c r="L1198" s="22" t="s">
        <v>723</v>
      </c>
      <c r="M1198" s="26"/>
      <c r="N1198" s="26"/>
      <c r="O1198" s="26"/>
      <c r="P1198" s="26"/>
      <c r="Q1198" s="26"/>
    </row>
    <row r="1199" ht="15.75" hidden="1" customHeight="1">
      <c r="A1199" s="31" t="s">
        <v>39</v>
      </c>
      <c r="B1199" s="9" t="s">
        <v>3511</v>
      </c>
      <c r="C1199" s="19" t="s">
        <v>3538</v>
      </c>
      <c r="D1199" s="22" t="s">
        <v>3539</v>
      </c>
      <c r="E1199" s="19" t="s">
        <v>115</v>
      </c>
      <c r="F1199" s="19" t="s">
        <v>3540</v>
      </c>
      <c r="G1199" s="19" t="s">
        <v>57</v>
      </c>
      <c r="H1199" s="22" t="s">
        <v>365</v>
      </c>
      <c r="I1199" s="25" t="s">
        <v>3541</v>
      </c>
      <c r="J1199" s="19" t="s">
        <v>319</v>
      </c>
      <c r="K1199" s="19" t="s">
        <v>52</v>
      </c>
      <c r="L1199" s="22" t="s">
        <v>3542</v>
      </c>
      <c r="M1199" s="26"/>
      <c r="N1199" s="26"/>
      <c r="O1199" s="26"/>
      <c r="P1199" s="26"/>
      <c r="Q1199" s="26"/>
    </row>
    <row r="1200" ht="15.75" hidden="1" customHeight="1">
      <c r="A1200" s="31" t="s">
        <v>39</v>
      </c>
      <c r="B1200" s="9" t="s">
        <v>3511</v>
      </c>
      <c r="C1200" s="19" t="s">
        <v>3032</v>
      </c>
      <c r="D1200" s="22" t="s">
        <v>3543</v>
      </c>
      <c r="E1200" s="19" t="s">
        <v>115</v>
      </c>
      <c r="F1200" s="19" t="s">
        <v>241</v>
      </c>
      <c r="G1200" s="19" t="s">
        <v>135</v>
      </c>
      <c r="H1200" s="24" t="s">
        <v>59</v>
      </c>
      <c r="I1200" s="25" t="s">
        <v>3544</v>
      </c>
      <c r="J1200" s="19" t="s">
        <v>456</v>
      </c>
      <c r="K1200" s="19" t="s">
        <v>52</v>
      </c>
      <c r="L1200" s="22" t="s">
        <v>3039</v>
      </c>
      <c r="M1200" s="26"/>
      <c r="N1200" s="26"/>
      <c r="O1200" s="26"/>
      <c r="P1200" s="26"/>
      <c r="Q1200" s="26"/>
    </row>
    <row r="1201" ht="15.75" hidden="1" customHeight="1">
      <c r="A1201" s="31" t="s">
        <v>39</v>
      </c>
      <c r="B1201" s="9" t="s">
        <v>3511</v>
      </c>
      <c r="C1201" s="19" t="s">
        <v>3545</v>
      </c>
      <c r="D1201" s="22" t="s">
        <v>2501</v>
      </c>
      <c r="E1201" s="19" t="s">
        <v>115</v>
      </c>
      <c r="F1201" s="19" t="s">
        <v>3546</v>
      </c>
      <c r="G1201" s="19" t="s">
        <v>57</v>
      </c>
      <c r="H1201" s="22" t="s">
        <v>365</v>
      </c>
      <c r="I1201" s="25" t="s">
        <v>3547</v>
      </c>
      <c r="J1201" s="19" t="s">
        <v>95</v>
      </c>
      <c r="K1201" s="19" t="s">
        <v>52</v>
      </c>
      <c r="L1201" s="22" t="s">
        <v>3548</v>
      </c>
      <c r="M1201" s="26"/>
      <c r="N1201" s="26"/>
      <c r="O1201" s="26"/>
      <c r="P1201" s="26"/>
      <c r="Q1201" s="26"/>
    </row>
    <row r="1202" ht="15.75" hidden="1" customHeight="1">
      <c r="A1202" s="31" t="s">
        <v>39</v>
      </c>
      <c r="B1202" s="9" t="s">
        <v>3511</v>
      </c>
      <c r="C1202" s="19" t="s">
        <v>3545</v>
      </c>
      <c r="D1202" s="22" t="s">
        <v>3549</v>
      </c>
      <c r="E1202" s="19" t="s">
        <v>115</v>
      </c>
      <c r="F1202" s="19" t="s">
        <v>335</v>
      </c>
      <c r="G1202" s="19" t="s">
        <v>57</v>
      </c>
      <c r="H1202" s="22" t="s">
        <v>365</v>
      </c>
      <c r="I1202" s="25" t="s">
        <v>3547</v>
      </c>
      <c r="J1202" s="19" t="s">
        <v>319</v>
      </c>
      <c r="K1202" s="19" t="s">
        <v>52</v>
      </c>
      <c r="L1202" s="22" t="s">
        <v>3548</v>
      </c>
      <c r="M1202" s="26"/>
      <c r="N1202" s="26"/>
      <c r="O1202" s="26"/>
      <c r="P1202" s="26"/>
      <c r="Q1202" s="26"/>
    </row>
    <row r="1203" ht="15.75" hidden="1" customHeight="1">
      <c r="A1203" s="31" t="s">
        <v>39</v>
      </c>
      <c r="B1203" s="9" t="s">
        <v>3511</v>
      </c>
      <c r="C1203" s="19" t="s">
        <v>3148</v>
      </c>
      <c r="D1203" s="22" t="s">
        <v>3550</v>
      </c>
      <c r="E1203" s="19" t="s">
        <v>115</v>
      </c>
      <c r="F1203" s="19" t="s">
        <v>3150</v>
      </c>
      <c r="G1203" s="19" t="s">
        <v>57</v>
      </c>
      <c r="H1203" s="22" t="s">
        <v>365</v>
      </c>
      <c r="I1203" s="25" t="s">
        <v>3151</v>
      </c>
      <c r="J1203" s="19" t="s">
        <v>1435</v>
      </c>
      <c r="K1203" s="19" t="s">
        <v>66</v>
      </c>
      <c r="L1203" s="22"/>
      <c r="M1203" s="26"/>
      <c r="N1203" s="26"/>
      <c r="O1203" s="26"/>
      <c r="P1203" s="26"/>
      <c r="Q1203" s="26"/>
    </row>
    <row r="1204" ht="15.75" hidden="1" customHeight="1">
      <c r="A1204" s="31" t="s">
        <v>39</v>
      </c>
      <c r="B1204" s="9" t="s">
        <v>3511</v>
      </c>
      <c r="C1204" s="19" t="s">
        <v>2615</v>
      </c>
      <c r="D1204" s="22" t="s">
        <v>3551</v>
      </c>
      <c r="E1204" s="19" t="s">
        <v>115</v>
      </c>
      <c r="F1204" s="19" t="s">
        <v>241</v>
      </c>
      <c r="G1204" s="19" t="s">
        <v>135</v>
      </c>
      <c r="H1204" s="24" t="s">
        <v>59</v>
      </c>
      <c r="I1204" s="25" t="s">
        <v>2618</v>
      </c>
      <c r="J1204" s="19"/>
      <c r="K1204" s="19" t="s">
        <v>13</v>
      </c>
      <c r="L1204" s="22"/>
      <c r="M1204" s="26"/>
      <c r="N1204" s="26"/>
      <c r="O1204" s="26"/>
      <c r="P1204" s="26"/>
      <c r="Q1204" s="26"/>
    </row>
    <row r="1205" ht="15.75" hidden="1" customHeight="1">
      <c r="A1205" s="31" t="s">
        <v>39</v>
      </c>
      <c r="B1205" s="9" t="s">
        <v>3511</v>
      </c>
      <c r="C1205" s="19" t="s">
        <v>1728</v>
      </c>
      <c r="D1205" s="22" t="s">
        <v>3552</v>
      </c>
      <c r="E1205" s="19" t="s">
        <v>124</v>
      </c>
      <c r="F1205" s="19" t="s">
        <v>2727</v>
      </c>
      <c r="G1205" s="19" t="s">
        <v>135</v>
      </c>
      <c r="H1205" s="22" t="s">
        <v>365</v>
      </c>
      <c r="I1205" s="25" t="s">
        <v>3553</v>
      </c>
      <c r="J1205" s="19" t="s">
        <v>811</v>
      </c>
      <c r="K1205" s="19" t="s">
        <v>156</v>
      </c>
      <c r="L1205" s="22" t="s">
        <v>3554</v>
      </c>
      <c r="M1205" s="26"/>
      <c r="N1205" s="26"/>
      <c r="O1205" s="26"/>
      <c r="P1205" s="26"/>
      <c r="Q1205" s="26"/>
    </row>
    <row r="1206" ht="15.75" hidden="1" customHeight="1">
      <c r="A1206" s="31" t="s">
        <v>39</v>
      </c>
      <c r="B1206" s="9" t="s">
        <v>3511</v>
      </c>
      <c r="C1206" s="19" t="s">
        <v>3555</v>
      </c>
      <c r="D1206" s="22" t="s">
        <v>3556</v>
      </c>
      <c r="E1206" s="19" t="s">
        <v>124</v>
      </c>
      <c r="F1206" s="19" t="s">
        <v>868</v>
      </c>
      <c r="G1206" s="19" t="s">
        <v>135</v>
      </c>
      <c r="H1206" s="22" t="s">
        <v>365</v>
      </c>
      <c r="I1206" s="25" t="s">
        <v>3557</v>
      </c>
      <c r="J1206" s="19" t="s">
        <v>1445</v>
      </c>
      <c r="K1206" s="19" t="s">
        <v>82</v>
      </c>
      <c r="L1206" s="22" t="s">
        <v>3558</v>
      </c>
      <c r="M1206" s="26"/>
      <c r="N1206" s="26"/>
      <c r="O1206" s="26"/>
      <c r="P1206" s="26"/>
      <c r="Q1206" s="26"/>
    </row>
    <row r="1207" ht="15.75" customHeight="1">
      <c r="A1207" s="31" t="s">
        <v>39</v>
      </c>
      <c r="B1207" s="9" t="s">
        <v>3511</v>
      </c>
      <c r="C1207" s="19" t="s">
        <v>2837</v>
      </c>
      <c r="D1207" s="22" t="s">
        <v>3559</v>
      </c>
      <c r="E1207" s="19" t="s">
        <v>115</v>
      </c>
      <c r="F1207" s="19" t="s">
        <v>134</v>
      </c>
      <c r="G1207" s="19" t="s">
        <v>90</v>
      </c>
      <c r="H1207" s="22" t="s">
        <v>365</v>
      </c>
      <c r="I1207" s="25" t="s">
        <v>3560</v>
      </c>
      <c r="J1207" s="19" t="s">
        <v>1850</v>
      </c>
      <c r="K1207" s="19" t="s">
        <v>40</v>
      </c>
      <c r="L1207" s="22"/>
      <c r="M1207" s="26"/>
      <c r="N1207" s="26"/>
      <c r="O1207" s="26"/>
      <c r="P1207" s="26"/>
      <c r="Q1207" s="26"/>
    </row>
    <row r="1208" ht="15.75" hidden="1" customHeight="1">
      <c r="A1208" s="31" t="s">
        <v>39</v>
      </c>
      <c r="B1208" s="9" t="s">
        <v>3511</v>
      </c>
      <c r="C1208" s="19" t="s">
        <v>3506</v>
      </c>
      <c r="D1208" s="22" t="s">
        <v>3561</v>
      </c>
      <c r="E1208" s="19" t="s">
        <v>124</v>
      </c>
      <c r="F1208" s="19" t="s">
        <v>89</v>
      </c>
      <c r="G1208" s="19" t="s">
        <v>135</v>
      </c>
      <c r="H1208" s="22" t="s">
        <v>365</v>
      </c>
      <c r="I1208" s="25" t="s">
        <v>3562</v>
      </c>
      <c r="J1208" s="19"/>
      <c r="K1208" s="19" t="s">
        <v>122</v>
      </c>
      <c r="L1208" s="22" t="s">
        <v>539</v>
      </c>
      <c r="M1208" s="26"/>
      <c r="N1208" s="26"/>
      <c r="O1208" s="26"/>
      <c r="P1208" s="26"/>
      <c r="Q1208" s="26"/>
    </row>
    <row r="1209" ht="15.75" customHeight="1">
      <c r="A1209" s="31" t="s">
        <v>39</v>
      </c>
      <c r="B1209" s="9" t="s">
        <v>3511</v>
      </c>
      <c r="C1209" s="19" t="s">
        <v>3098</v>
      </c>
      <c r="D1209" s="22" t="s">
        <v>3563</v>
      </c>
      <c r="E1209" s="19" t="s">
        <v>115</v>
      </c>
      <c r="F1209" s="19" t="s">
        <v>2187</v>
      </c>
      <c r="G1209" s="19" t="s">
        <v>90</v>
      </c>
      <c r="H1209" s="22" t="s">
        <v>365</v>
      </c>
      <c r="I1209" s="25" t="s">
        <v>3564</v>
      </c>
      <c r="J1209" s="19" t="s">
        <v>627</v>
      </c>
      <c r="K1209" s="19" t="s">
        <v>82</v>
      </c>
      <c r="L1209" s="22"/>
      <c r="M1209" s="26"/>
      <c r="N1209" s="26"/>
      <c r="O1209" s="26"/>
      <c r="P1209" s="26"/>
      <c r="Q1209" s="26"/>
    </row>
    <row r="1210" ht="15.75" hidden="1" customHeight="1">
      <c r="A1210" s="31" t="s">
        <v>39</v>
      </c>
      <c r="B1210" s="9" t="s">
        <v>3511</v>
      </c>
      <c r="C1210" s="19" t="s">
        <v>3565</v>
      </c>
      <c r="D1210" s="22" t="s">
        <v>633</v>
      </c>
      <c r="E1210" s="19" t="s">
        <v>124</v>
      </c>
      <c r="F1210" s="19" t="s">
        <v>1160</v>
      </c>
      <c r="G1210" s="19" t="s">
        <v>135</v>
      </c>
      <c r="H1210" s="22" t="s">
        <v>365</v>
      </c>
      <c r="I1210" s="25" t="s">
        <v>3566</v>
      </c>
      <c r="J1210" s="19" t="s">
        <v>319</v>
      </c>
      <c r="K1210" s="19" t="s">
        <v>82</v>
      </c>
      <c r="L1210" s="22" t="s">
        <v>471</v>
      </c>
      <c r="M1210" s="26"/>
      <c r="N1210" s="26"/>
      <c r="O1210" s="26"/>
      <c r="P1210" s="26"/>
      <c r="Q1210" s="26"/>
    </row>
    <row r="1211" ht="15.75" customHeight="1">
      <c r="A1211" s="31" t="s">
        <v>39</v>
      </c>
      <c r="B1211" s="9" t="s">
        <v>3511</v>
      </c>
      <c r="C1211" s="19" t="s">
        <v>201</v>
      </c>
      <c r="D1211" s="22" t="s">
        <v>3567</v>
      </c>
      <c r="E1211" s="19" t="s">
        <v>115</v>
      </c>
      <c r="F1211" s="19" t="s">
        <v>2675</v>
      </c>
      <c r="G1211" s="19" t="s">
        <v>90</v>
      </c>
      <c r="H1211" s="22" t="s">
        <v>365</v>
      </c>
      <c r="I1211" s="25" t="s">
        <v>3568</v>
      </c>
      <c r="J1211" s="19" t="s">
        <v>95</v>
      </c>
      <c r="K1211" s="19" t="s">
        <v>82</v>
      </c>
      <c r="L1211" s="22"/>
      <c r="M1211" s="26"/>
      <c r="N1211" s="26"/>
      <c r="O1211" s="26"/>
      <c r="P1211" s="26"/>
      <c r="Q1211" s="26"/>
    </row>
    <row r="1212" ht="15.75" hidden="1" customHeight="1">
      <c r="A1212" s="31" t="s">
        <v>39</v>
      </c>
      <c r="B1212" s="9" t="s">
        <v>3569</v>
      </c>
      <c r="C1212" s="19" t="s">
        <v>1146</v>
      </c>
      <c r="D1212" s="22" t="s">
        <v>3570</v>
      </c>
      <c r="E1212" s="19" t="s">
        <v>127</v>
      </c>
      <c r="F1212" s="19" t="s">
        <v>3571</v>
      </c>
      <c r="G1212" s="19" t="s">
        <v>57</v>
      </c>
      <c r="H1212" s="24" t="s">
        <v>59</v>
      </c>
      <c r="I1212" s="25" t="s">
        <v>3572</v>
      </c>
      <c r="J1212" s="19" t="s">
        <v>1240</v>
      </c>
      <c r="K1212" s="19" t="s">
        <v>122</v>
      </c>
      <c r="L1212" s="22" t="s">
        <v>2592</v>
      </c>
      <c r="M1212" s="26"/>
      <c r="N1212" s="26"/>
      <c r="O1212" s="26"/>
      <c r="P1212" s="26"/>
      <c r="Q1212" s="26"/>
    </row>
    <row r="1213" ht="15.75" hidden="1" customHeight="1">
      <c r="A1213" s="31" t="s">
        <v>39</v>
      </c>
      <c r="B1213" s="9" t="s">
        <v>3569</v>
      </c>
      <c r="C1213" s="19" t="s">
        <v>3573</v>
      </c>
      <c r="D1213" s="22" t="s">
        <v>3574</v>
      </c>
      <c r="E1213" s="19" t="s">
        <v>109</v>
      </c>
      <c r="F1213" s="19" t="s">
        <v>3575</v>
      </c>
      <c r="G1213" s="19" t="s">
        <v>57</v>
      </c>
      <c r="H1213" s="22" t="s">
        <v>365</v>
      </c>
      <c r="I1213" s="25" t="s">
        <v>3576</v>
      </c>
      <c r="J1213" s="19"/>
      <c r="K1213" s="19" t="s">
        <v>117</v>
      </c>
      <c r="L1213" s="22" t="s">
        <v>2506</v>
      </c>
      <c r="M1213" s="26"/>
      <c r="N1213" s="26"/>
      <c r="O1213" s="26"/>
      <c r="P1213" s="26"/>
      <c r="Q1213" s="26"/>
    </row>
    <row r="1214" ht="15.75" hidden="1" customHeight="1">
      <c r="A1214" s="31" t="s">
        <v>39</v>
      </c>
      <c r="B1214" s="9" t="s">
        <v>3569</v>
      </c>
      <c r="C1214" s="19" t="s">
        <v>3577</v>
      </c>
      <c r="D1214" s="22" t="s">
        <v>3578</v>
      </c>
      <c r="E1214" s="19" t="s">
        <v>109</v>
      </c>
      <c r="F1214" s="19" t="s">
        <v>3579</v>
      </c>
      <c r="G1214" s="19" t="s">
        <v>57</v>
      </c>
      <c r="H1214" s="22" t="s">
        <v>365</v>
      </c>
      <c r="I1214" s="25" t="s">
        <v>3580</v>
      </c>
      <c r="J1214" s="19" t="s">
        <v>1026</v>
      </c>
      <c r="K1214" s="19" t="s">
        <v>66</v>
      </c>
      <c r="L1214" s="22"/>
      <c r="M1214" s="26"/>
      <c r="N1214" s="26"/>
      <c r="O1214" s="26"/>
      <c r="P1214" s="26"/>
      <c r="Q1214" s="26"/>
    </row>
    <row r="1215" ht="15.75" hidden="1" customHeight="1">
      <c r="A1215" s="31" t="s">
        <v>39</v>
      </c>
      <c r="B1215" s="9" t="s">
        <v>3569</v>
      </c>
      <c r="C1215" s="19" t="s">
        <v>3581</v>
      </c>
      <c r="D1215" s="22" t="s">
        <v>1362</v>
      </c>
      <c r="E1215" s="19" t="s">
        <v>109</v>
      </c>
      <c r="F1215" s="19" t="s">
        <v>1382</v>
      </c>
      <c r="G1215" s="19" t="s">
        <v>146</v>
      </c>
      <c r="H1215" s="22" t="s">
        <v>365</v>
      </c>
      <c r="I1215" s="25" t="s">
        <v>3582</v>
      </c>
      <c r="J1215" s="19" t="s">
        <v>176</v>
      </c>
      <c r="K1215" s="19" t="s">
        <v>193</v>
      </c>
      <c r="L1215" s="22" t="s">
        <v>3583</v>
      </c>
      <c r="M1215" s="26"/>
      <c r="N1215" s="26"/>
      <c r="O1215" s="26"/>
      <c r="P1215" s="26"/>
      <c r="Q1215" s="26"/>
    </row>
    <row r="1216" ht="15.75" hidden="1" customHeight="1">
      <c r="A1216" s="31" t="s">
        <v>39</v>
      </c>
      <c r="B1216" s="9" t="s">
        <v>3569</v>
      </c>
      <c r="C1216" s="19" t="s">
        <v>3204</v>
      </c>
      <c r="D1216" s="22" t="s">
        <v>3584</v>
      </c>
      <c r="E1216" s="19" t="s">
        <v>109</v>
      </c>
      <c r="F1216" s="19" t="s">
        <v>631</v>
      </c>
      <c r="G1216" s="19" t="s">
        <v>57</v>
      </c>
      <c r="H1216" s="22" t="s">
        <v>365</v>
      </c>
      <c r="I1216" s="25" t="s">
        <v>3585</v>
      </c>
      <c r="J1216" s="19"/>
      <c r="K1216" s="19" t="s">
        <v>99</v>
      </c>
      <c r="L1216" s="22" t="s">
        <v>3586</v>
      </c>
      <c r="M1216" s="26"/>
      <c r="N1216" s="26"/>
      <c r="O1216" s="26"/>
      <c r="P1216" s="26"/>
      <c r="Q1216" s="26"/>
    </row>
    <row r="1217" ht="15.75" hidden="1" customHeight="1">
      <c r="A1217" s="31" t="s">
        <v>39</v>
      </c>
      <c r="B1217" s="9" t="s">
        <v>3569</v>
      </c>
      <c r="C1217" s="19" t="s">
        <v>3204</v>
      </c>
      <c r="D1217" s="22" t="s">
        <v>3587</v>
      </c>
      <c r="E1217" s="19" t="s">
        <v>109</v>
      </c>
      <c r="F1217" s="19" t="s">
        <v>631</v>
      </c>
      <c r="G1217" s="19" t="s">
        <v>57</v>
      </c>
      <c r="H1217" s="22" t="s">
        <v>365</v>
      </c>
      <c r="I1217" s="25" t="s">
        <v>3588</v>
      </c>
      <c r="J1217" s="19"/>
      <c r="K1217" s="19" t="s">
        <v>99</v>
      </c>
      <c r="L1217" s="22" t="s">
        <v>3586</v>
      </c>
      <c r="M1217" s="26"/>
      <c r="N1217" s="26"/>
      <c r="O1217" s="26"/>
      <c r="P1217" s="26"/>
      <c r="Q1217" s="26"/>
    </row>
    <row r="1218" ht="15.75" hidden="1" customHeight="1">
      <c r="A1218" s="31" t="s">
        <v>39</v>
      </c>
      <c r="B1218" s="9" t="s">
        <v>3569</v>
      </c>
      <c r="C1218" s="19" t="s">
        <v>3204</v>
      </c>
      <c r="D1218" s="22" t="s">
        <v>3589</v>
      </c>
      <c r="E1218" s="19" t="s">
        <v>109</v>
      </c>
      <c r="F1218" s="19" t="s">
        <v>631</v>
      </c>
      <c r="G1218" s="19" t="s">
        <v>57</v>
      </c>
      <c r="H1218" s="22" t="s">
        <v>365</v>
      </c>
      <c r="I1218" s="25" t="s">
        <v>3590</v>
      </c>
      <c r="J1218" s="19"/>
      <c r="K1218" s="19" t="s">
        <v>99</v>
      </c>
      <c r="L1218" s="22" t="s">
        <v>3586</v>
      </c>
      <c r="M1218" s="26"/>
      <c r="N1218" s="26"/>
      <c r="O1218" s="26"/>
      <c r="P1218" s="26"/>
      <c r="Q1218" s="26"/>
    </row>
    <row r="1219" ht="15.75" hidden="1" customHeight="1">
      <c r="A1219" s="31" t="s">
        <v>39</v>
      </c>
      <c r="B1219" s="9" t="s">
        <v>3569</v>
      </c>
      <c r="C1219" s="19" t="s">
        <v>3204</v>
      </c>
      <c r="D1219" s="22" t="s">
        <v>3591</v>
      </c>
      <c r="E1219" s="19" t="s">
        <v>109</v>
      </c>
      <c r="F1219" s="19" t="s">
        <v>631</v>
      </c>
      <c r="G1219" s="19" t="s">
        <v>57</v>
      </c>
      <c r="H1219" s="22" t="s">
        <v>365</v>
      </c>
      <c r="I1219" s="25" t="s">
        <v>3592</v>
      </c>
      <c r="J1219" s="19"/>
      <c r="K1219" s="19" t="s">
        <v>143</v>
      </c>
      <c r="L1219" s="22" t="s">
        <v>3593</v>
      </c>
      <c r="M1219" s="26"/>
      <c r="N1219" s="26"/>
      <c r="O1219" s="26"/>
      <c r="P1219" s="26"/>
      <c r="Q1219" s="26"/>
    </row>
    <row r="1220" ht="15.75" hidden="1" customHeight="1">
      <c r="A1220" s="31" t="s">
        <v>39</v>
      </c>
      <c r="B1220" s="9" t="s">
        <v>3569</v>
      </c>
      <c r="C1220" s="19" t="s">
        <v>3594</v>
      </c>
      <c r="D1220" s="22" t="s">
        <v>656</v>
      </c>
      <c r="E1220" s="19" t="s">
        <v>109</v>
      </c>
      <c r="F1220" s="19" t="s">
        <v>3579</v>
      </c>
      <c r="G1220" s="19" t="s">
        <v>57</v>
      </c>
      <c r="H1220" s="22" t="s">
        <v>365</v>
      </c>
      <c r="I1220" s="25" t="s">
        <v>3595</v>
      </c>
      <c r="J1220" s="19" t="s">
        <v>95</v>
      </c>
      <c r="K1220" s="19" t="s">
        <v>52</v>
      </c>
      <c r="L1220" s="22" t="s">
        <v>3596</v>
      </c>
      <c r="M1220" s="26"/>
      <c r="N1220" s="26"/>
      <c r="O1220" s="26"/>
      <c r="P1220" s="26"/>
      <c r="Q1220" s="26"/>
    </row>
    <row r="1221" ht="15.75" hidden="1" customHeight="1">
      <c r="A1221" s="31" t="s">
        <v>39</v>
      </c>
      <c r="B1221" s="9" t="s">
        <v>3569</v>
      </c>
      <c r="C1221" s="19" t="s">
        <v>3597</v>
      </c>
      <c r="D1221" s="22" t="s">
        <v>2838</v>
      </c>
      <c r="E1221" s="19" t="s">
        <v>109</v>
      </c>
      <c r="F1221" s="19" t="s">
        <v>2713</v>
      </c>
      <c r="G1221" s="19" t="s">
        <v>57</v>
      </c>
      <c r="H1221" s="22" t="s">
        <v>365</v>
      </c>
      <c r="I1221" s="25" t="s">
        <v>3598</v>
      </c>
      <c r="J1221" s="19" t="s">
        <v>262</v>
      </c>
      <c r="K1221" s="19" t="s">
        <v>66</v>
      </c>
      <c r="L1221" s="22"/>
      <c r="M1221" s="26"/>
      <c r="N1221" s="26"/>
      <c r="O1221" s="26"/>
      <c r="P1221" s="26"/>
      <c r="Q1221" s="26"/>
    </row>
    <row r="1222" ht="15.75" hidden="1" customHeight="1">
      <c r="A1222" s="31" t="s">
        <v>39</v>
      </c>
      <c r="B1222" s="9" t="s">
        <v>3569</v>
      </c>
      <c r="C1222" s="19" t="s">
        <v>1393</v>
      </c>
      <c r="D1222" s="22" t="s">
        <v>3599</v>
      </c>
      <c r="E1222" s="19" t="s">
        <v>109</v>
      </c>
      <c r="F1222" s="19" t="s">
        <v>3133</v>
      </c>
      <c r="G1222" s="19" t="s">
        <v>57</v>
      </c>
      <c r="H1222" s="22" t="s">
        <v>365</v>
      </c>
      <c r="I1222" s="25" t="s">
        <v>3600</v>
      </c>
      <c r="J1222" s="19" t="s">
        <v>782</v>
      </c>
      <c r="K1222" s="19" t="s">
        <v>66</v>
      </c>
      <c r="L1222" s="22"/>
      <c r="M1222" s="26"/>
      <c r="N1222" s="26"/>
      <c r="O1222" s="26"/>
      <c r="P1222" s="26"/>
      <c r="Q1222" s="26"/>
    </row>
    <row r="1223" ht="15.75" hidden="1" customHeight="1">
      <c r="A1223" s="31" t="s">
        <v>39</v>
      </c>
      <c r="B1223" s="9" t="s">
        <v>3569</v>
      </c>
      <c r="C1223" s="19" t="s">
        <v>3601</v>
      </c>
      <c r="D1223" s="22" t="s">
        <v>3602</v>
      </c>
      <c r="E1223" s="19" t="s">
        <v>109</v>
      </c>
      <c r="F1223" s="19" t="s">
        <v>89</v>
      </c>
      <c r="G1223" s="19" t="s">
        <v>57</v>
      </c>
      <c r="H1223" s="22" t="s">
        <v>365</v>
      </c>
      <c r="I1223" s="25" t="s">
        <v>3603</v>
      </c>
      <c r="J1223" s="19" t="s">
        <v>1435</v>
      </c>
      <c r="K1223" s="19" t="s">
        <v>66</v>
      </c>
      <c r="L1223" s="22"/>
      <c r="M1223" s="26"/>
      <c r="N1223" s="26"/>
      <c r="O1223" s="26"/>
      <c r="P1223" s="26"/>
      <c r="Q1223" s="26"/>
    </row>
    <row r="1224" ht="15.75" hidden="1" customHeight="1">
      <c r="A1224" s="31" t="s">
        <v>39</v>
      </c>
      <c r="B1224" s="9" t="s">
        <v>3569</v>
      </c>
      <c r="C1224" s="19" t="s">
        <v>3604</v>
      </c>
      <c r="D1224" s="22" t="s">
        <v>3605</v>
      </c>
      <c r="E1224" s="19" t="s">
        <v>109</v>
      </c>
      <c r="F1224" s="19" t="s">
        <v>705</v>
      </c>
      <c r="G1224" s="19" t="s">
        <v>57</v>
      </c>
      <c r="H1224" s="22" t="s">
        <v>365</v>
      </c>
      <c r="I1224" s="25" t="s">
        <v>3606</v>
      </c>
      <c r="J1224" s="19" t="s">
        <v>1240</v>
      </c>
      <c r="K1224" s="19" t="s">
        <v>94</v>
      </c>
      <c r="L1224" s="22" t="s">
        <v>3607</v>
      </c>
      <c r="M1224" s="26"/>
      <c r="N1224" s="26"/>
      <c r="O1224" s="26"/>
      <c r="P1224" s="26"/>
      <c r="Q1224" s="26"/>
    </row>
    <row r="1225" ht="15.75" hidden="1" customHeight="1">
      <c r="A1225" s="31" t="s">
        <v>39</v>
      </c>
      <c r="B1225" s="9" t="s">
        <v>3569</v>
      </c>
      <c r="C1225" s="19" t="s">
        <v>3608</v>
      </c>
      <c r="D1225" s="22" t="s">
        <v>3609</v>
      </c>
      <c r="E1225" s="19" t="s">
        <v>109</v>
      </c>
      <c r="F1225" s="19" t="s">
        <v>186</v>
      </c>
      <c r="G1225" s="19" t="s">
        <v>57</v>
      </c>
      <c r="H1225" s="22" t="s">
        <v>365</v>
      </c>
      <c r="I1225" s="25" t="s">
        <v>3610</v>
      </c>
      <c r="J1225" s="19"/>
      <c r="K1225" s="19" t="s">
        <v>275</v>
      </c>
      <c r="L1225" s="22" t="s">
        <v>3611</v>
      </c>
      <c r="M1225" s="26"/>
      <c r="N1225" s="26"/>
      <c r="O1225" s="26"/>
      <c r="P1225" s="26"/>
      <c r="Q1225" s="26"/>
    </row>
    <row r="1226" ht="15.75" hidden="1" customHeight="1">
      <c r="A1226" s="31" t="s">
        <v>39</v>
      </c>
      <c r="B1226" s="9" t="s">
        <v>3569</v>
      </c>
      <c r="C1226" s="19" t="s">
        <v>1150</v>
      </c>
      <c r="D1226" s="22" t="s">
        <v>3612</v>
      </c>
      <c r="E1226" s="19" t="s">
        <v>121</v>
      </c>
      <c r="F1226" s="19" t="s">
        <v>3613</v>
      </c>
      <c r="G1226" s="19" t="s">
        <v>57</v>
      </c>
      <c r="H1226" s="24" t="s">
        <v>59</v>
      </c>
      <c r="I1226" s="25" t="s">
        <v>1153</v>
      </c>
      <c r="J1226" s="19"/>
      <c r="K1226" s="19" t="s">
        <v>74</v>
      </c>
      <c r="L1226" s="22"/>
      <c r="M1226" s="26"/>
      <c r="N1226" s="26"/>
      <c r="O1226" s="26"/>
      <c r="P1226" s="26"/>
      <c r="Q1226" s="26"/>
    </row>
    <row r="1227" ht="15.75" hidden="1" customHeight="1">
      <c r="A1227" s="31" t="s">
        <v>39</v>
      </c>
      <c r="B1227" s="9" t="s">
        <v>3569</v>
      </c>
      <c r="C1227" s="19" t="s">
        <v>1150</v>
      </c>
      <c r="D1227" s="22" t="s">
        <v>3614</v>
      </c>
      <c r="E1227" s="19" t="s">
        <v>121</v>
      </c>
      <c r="F1227" s="19" t="s">
        <v>3615</v>
      </c>
      <c r="G1227" s="19" t="s">
        <v>57</v>
      </c>
      <c r="H1227" s="24" t="s">
        <v>59</v>
      </c>
      <c r="I1227" s="25" t="s">
        <v>1153</v>
      </c>
      <c r="J1227" s="19"/>
      <c r="K1227" s="19" t="s">
        <v>74</v>
      </c>
      <c r="L1227" s="22"/>
      <c r="M1227" s="26"/>
      <c r="N1227" s="26"/>
      <c r="O1227" s="26"/>
      <c r="P1227" s="26"/>
      <c r="Q1227" s="26"/>
    </row>
    <row r="1228" ht="15.75" hidden="1" customHeight="1">
      <c r="A1228" s="31" t="s">
        <v>39</v>
      </c>
      <c r="B1228" s="9" t="s">
        <v>3569</v>
      </c>
      <c r="C1228" s="19" t="s">
        <v>1158</v>
      </c>
      <c r="D1228" s="22" t="s">
        <v>3616</v>
      </c>
      <c r="E1228" s="19" t="s">
        <v>129</v>
      </c>
      <c r="F1228" s="19" t="s">
        <v>241</v>
      </c>
      <c r="G1228" s="19" t="s">
        <v>57</v>
      </c>
      <c r="H1228" s="24" t="s">
        <v>59</v>
      </c>
      <c r="I1228" s="25" t="s">
        <v>3617</v>
      </c>
      <c r="J1228" s="19" t="s">
        <v>456</v>
      </c>
      <c r="K1228" s="19" t="s">
        <v>78</v>
      </c>
      <c r="L1228" s="22"/>
      <c r="M1228" s="26"/>
      <c r="N1228" s="26"/>
      <c r="O1228" s="26"/>
      <c r="P1228" s="26"/>
      <c r="Q1228" s="26"/>
    </row>
    <row r="1229" ht="15.75" hidden="1" customHeight="1">
      <c r="A1229" s="31" t="s">
        <v>39</v>
      </c>
      <c r="B1229" s="9" t="s">
        <v>3569</v>
      </c>
      <c r="C1229" s="19" t="s">
        <v>3618</v>
      </c>
      <c r="D1229" s="22" t="s">
        <v>3619</v>
      </c>
      <c r="E1229" s="19" t="s">
        <v>109</v>
      </c>
      <c r="F1229" s="19" t="s">
        <v>2221</v>
      </c>
      <c r="G1229" s="19" t="s">
        <v>57</v>
      </c>
      <c r="H1229" s="22" t="s">
        <v>365</v>
      </c>
      <c r="I1229" s="25" t="s">
        <v>3620</v>
      </c>
      <c r="J1229" s="19"/>
      <c r="K1229" s="19" t="s">
        <v>184</v>
      </c>
      <c r="L1229" s="22"/>
      <c r="M1229" s="26"/>
      <c r="N1229" s="26"/>
      <c r="O1229" s="26"/>
      <c r="P1229" s="26"/>
      <c r="Q1229" s="26"/>
    </row>
    <row r="1230" ht="15.75" hidden="1" customHeight="1">
      <c r="A1230" s="31" t="s">
        <v>39</v>
      </c>
      <c r="B1230" s="9" t="s">
        <v>3569</v>
      </c>
      <c r="C1230" s="19" t="s">
        <v>3621</v>
      </c>
      <c r="D1230" s="22" t="s">
        <v>3622</v>
      </c>
      <c r="E1230" s="19" t="s">
        <v>115</v>
      </c>
      <c r="F1230" s="19" t="s">
        <v>335</v>
      </c>
      <c r="G1230" s="19" t="s">
        <v>135</v>
      </c>
      <c r="H1230" s="22" t="s">
        <v>155</v>
      </c>
      <c r="I1230" s="25" t="s">
        <v>3623</v>
      </c>
      <c r="J1230" s="19"/>
      <c r="K1230" s="19" t="s">
        <v>13</v>
      </c>
      <c r="L1230" s="22" t="s">
        <v>3624</v>
      </c>
      <c r="M1230" s="26"/>
      <c r="N1230" s="26"/>
      <c r="O1230" s="26"/>
      <c r="P1230" s="26"/>
      <c r="Q1230" s="26"/>
    </row>
    <row r="1231" ht="15.75" hidden="1" customHeight="1">
      <c r="A1231" s="31" t="s">
        <v>39</v>
      </c>
      <c r="B1231" s="9" t="s">
        <v>3569</v>
      </c>
      <c r="C1231" s="19" t="s">
        <v>3240</v>
      </c>
      <c r="D1231" s="22" t="s">
        <v>3241</v>
      </c>
      <c r="E1231" s="19" t="s">
        <v>109</v>
      </c>
      <c r="F1231" s="19" t="s">
        <v>3625</v>
      </c>
      <c r="G1231" s="19" t="s">
        <v>57</v>
      </c>
      <c r="H1231" s="22" t="s">
        <v>365</v>
      </c>
      <c r="I1231" s="25" t="s">
        <v>3242</v>
      </c>
      <c r="J1231" s="19" t="s">
        <v>1445</v>
      </c>
      <c r="K1231" s="19" t="s">
        <v>66</v>
      </c>
      <c r="L1231" s="22"/>
      <c r="M1231" s="26"/>
      <c r="N1231" s="26"/>
      <c r="O1231" s="26"/>
      <c r="P1231" s="26"/>
      <c r="Q1231" s="26"/>
    </row>
    <row r="1232" ht="15.75" hidden="1" customHeight="1">
      <c r="A1232" s="31" t="s">
        <v>39</v>
      </c>
      <c r="B1232" s="9" t="s">
        <v>3569</v>
      </c>
      <c r="C1232" s="19" t="s">
        <v>1424</v>
      </c>
      <c r="D1232" s="22" t="s">
        <v>3626</v>
      </c>
      <c r="E1232" s="19" t="s">
        <v>109</v>
      </c>
      <c r="F1232" s="19" t="s">
        <v>89</v>
      </c>
      <c r="G1232" s="19" t="s">
        <v>57</v>
      </c>
      <c r="H1232" s="22" t="s">
        <v>365</v>
      </c>
      <c r="I1232" s="25" t="s">
        <v>3627</v>
      </c>
      <c r="J1232" s="19"/>
      <c r="K1232" s="19" t="s">
        <v>228</v>
      </c>
      <c r="L1232" s="22"/>
      <c r="M1232" s="26"/>
      <c r="N1232" s="26"/>
      <c r="O1232" s="26"/>
      <c r="P1232" s="26"/>
      <c r="Q1232" s="26"/>
    </row>
    <row r="1233" ht="15.75" hidden="1" customHeight="1">
      <c r="A1233" s="31" t="s">
        <v>39</v>
      </c>
      <c r="B1233" s="9" t="s">
        <v>3569</v>
      </c>
      <c r="C1233" s="19" t="s">
        <v>3628</v>
      </c>
      <c r="D1233" s="22" t="s">
        <v>3629</v>
      </c>
      <c r="E1233" s="19" t="s">
        <v>109</v>
      </c>
      <c r="F1233" s="19" t="s">
        <v>3630</v>
      </c>
      <c r="G1233" s="19" t="s">
        <v>57</v>
      </c>
      <c r="H1233" s="22" t="s">
        <v>365</v>
      </c>
      <c r="I1233" s="25" t="s">
        <v>3631</v>
      </c>
      <c r="J1233" s="19"/>
      <c r="K1233" s="19" t="s">
        <v>117</v>
      </c>
      <c r="L1233" s="22" t="s">
        <v>3632</v>
      </c>
      <c r="M1233" s="26"/>
      <c r="N1233" s="26"/>
      <c r="O1233" s="26"/>
      <c r="P1233" s="26"/>
      <c r="Q1233" s="26"/>
    </row>
    <row r="1234" ht="15.75" hidden="1" customHeight="1">
      <c r="A1234" s="31" t="s">
        <v>39</v>
      </c>
      <c r="B1234" s="9" t="s">
        <v>3569</v>
      </c>
      <c r="C1234" s="19" t="s">
        <v>1431</v>
      </c>
      <c r="D1234" s="22" t="s">
        <v>3633</v>
      </c>
      <c r="E1234" s="19" t="s">
        <v>109</v>
      </c>
      <c r="F1234" s="19" t="s">
        <v>1433</v>
      </c>
      <c r="G1234" s="19" t="s">
        <v>57</v>
      </c>
      <c r="H1234" s="22" t="s">
        <v>365</v>
      </c>
      <c r="I1234" s="25" t="s">
        <v>3634</v>
      </c>
      <c r="J1234" s="19" t="s">
        <v>1435</v>
      </c>
      <c r="K1234" s="19" t="s">
        <v>82</v>
      </c>
      <c r="L1234" s="22"/>
      <c r="M1234" s="26"/>
      <c r="N1234" s="26"/>
      <c r="O1234" s="26"/>
      <c r="P1234" s="26"/>
      <c r="Q1234" s="26"/>
    </row>
    <row r="1235" ht="15.75" hidden="1" customHeight="1">
      <c r="A1235" s="31" t="s">
        <v>39</v>
      </c>
      <c r="B1235" s="9" t="s">
        <v>3569</v>
      </c>
      <c r="C1235" s="19" t="s">
        <v>1431</v>
      </c>
      <c r="D1235" s="22" t="s">
        <v>3635</v>
      </c>
      <c r="E1235" s="19" t="s">
        <v>109</v>
      </c>
      <c r="F1235" s="19" t="s">
        <v>521</v>
      </c>
      <c r="G1235" s="19" t="s">
        <v>57</v>
      </c>
      <c r="H1235" s="22" t="s">
        <v>365</v>
      </c>
      <c r="I1235" s="25" t="s">
        <v>3636</v>
      </c>
      <c r="J1235" s="19" t="s">
        <v>663</v>
      </c>
      <c r="K1235" s="19" t="s">
        <v>82</v>
      </c>
      <c r="L1235" s="22"/>
      <c r="M1235" s="26"/>
      <c r="N1235" s="26"/>
      <c r="O1235" s="26"/>
      <c r="P1235" s="26"/>
      <c r="Q1235" s="26"/>
    </row>
    <row r="1236" ht="15.75" hidden="1" customHeight="1">
      <c r="A1236" s="31" t="s">
        <v>39</v>
      </c>
      <c r="B1236" s="9" t="s">
        <v>3569</v>
      </c>
      <c r="C1236" s="19" t="s">
        <v>3637</v>
      </c>
      <c r="D1236" s="22" t="s">
        <v>3638</v>
      </c>
      <c r="E1236" s="19" t="s">
        <v>109</v>
      </c>
      <c r="F1236" s="19" t="s">
        <v>1129</v>
      </c>
      <c r="G1236" s="19" t="s">
        <v>57</v>
      </c>
      <c r="H1236" s="22" t="s">
        <v>365</v>
      </c>
      <c r="I1236" s="25" t="s">
        <v>3639</v>
      </c>
      <c r="J1236" s="19"/>
      <c r="K1236" s="19" t="s">
        <v>99</v>
      </c>
      <c r="L1236" s="22" t="s">
        <v>539</v>
      </c>
      <c r="M1236" s="26"/>
      <c r="N1236" s="26"/>
      <c r="O1236" s="26"/>
      <c r="P1236" s="26"/>
      <c r="Q1236" s="26"/>
    </row>
    <row r="1237" ht="15.75" hidden="1" customHeight="1">
      <c r="A1237" s="31" t="s">
        <v>39</v>
      </c>
      <c r="B1237" s="9" t="s">
        <v>3569</v>
      </c>
      <c r="C1237" s="19" t="s">
        <v>3637</v>
      </c>
      <c r="D1237" s="22" t="s">
        <v>3640</v>
      </c>
      <c r="E1237" s="19" t="s">
        <v>109</v>
      </c>
      <c r="F1237" s="19" t="s">
        <v>1129</v>
      </c>
      <c r="G1237" s="19" t="s">
        <v>57</v>
      </c>
      <c r="H1237" s="22" t="s">
        <v>365</v>
      </c>
      <c r="I1237" s="25" t="s">
        <v>3641</v>
      </c>
      <c r="J1237" s="19"/>
      <c r="K1237" s="19" t="s">
        <v>99</v>
      </c>
      <c r="L1237" s="22" t="s">
        <v>539</v>
      </c>
      <c r="M1237" s="26"/>
      <c r="N1237" s="26"/>
      <c r="O1237" s="26"/>
      <c r="P1237" s="26"/>
      <c r="Q1237" s="26"/>
    </row>
    <row r="1238" ht="15.75" hidden="1" customHeight="1">
      <c r="A1238" s="31" t="s">
        <v>39</v>
      </c>
      <c r="B1238" s="9" t="s">
        <v>3569</v>
      </c>
      <c r="C1238" s="19" t="s">
        <v>3642</v>
      </c>
      <c r="D1238" s="22" t="s">
        <v>3643</v>
      </c>
      <c r="E1238" s="19" t="s">
        <v>109</v>
      </c>
      <c r="F1238" s="19" t="s">
        <v>3644</v>
      </c>
      <c r="G1238" s="19" t="s">
        <v>146</v>
      </c>
      <c r="H1238" s="22" t="s">
        <v>365</v>
      </c>
      <c r="I1238" s="25" t="s">
        <v>3645</v>
      </c>
      <c r="J1238" s="19"/>
      <c r="K1238" s="19" t="s">
        <v>13</v>
      </c>
      <c r="L1238" s="22" t="s">
        <v>3646</v>
      </c>
      <c r="M1238" s="26"/>
      <c r="N1238" s="26"/>
      <c r="O1238" s="26"/>
      <c r="P1238" s="26"/>
      <c r="Q1238" s="26"/>
    </row>
    <row r="1239" ht="15.75" hidden="1" customHeight="1">
      <c r="A1239" s="31" t="s">
        <v>39</v>
      </c>
      <c r="B1239" s="9" t="s">
        <v>3569</v>
      </c>
      <c r="C1239" s="19" t="s">
        <v>3642</v>
      </c>
      <c r="D1239" s="22" t="s">
        <v>3647</v>
      </c>
      <c r="E1239" s="19" t="s">
        <v>109</v>
      </c>
      <c r="F1239" s="19" t="s">
        <v>3648</v>
      </c>
      <c r="G1239" s="19" t="s">
        <v>146</v>
      </c>
      <c r="H1239" s="22" t="s">
        <v>365</v>
      </c>
      <c r="I1239" s="25" t="s">
        <v>3649</v>
      </c>
      <c r="J1239" s="19"/>
      <c r="K1239" s="19" t="s">
        <v>13</v>
      </c>
      <c r="L1239" s="22" t="s">
        <v>3650</v>
      </c>
      <c r="M1239" s="26"/>
      <c r="N1239" s="26"/>
      <c r="O1239" s="26"/>
      <c r="P1239" s="26"/>
      <c r="Q1239" s="26"/>
    </row>
    <row r="1240" ht="15.75" hidden="1" customHeight="1">
      <c r="A1240" s="31" t="s">
        <v>39</v>
      </c>
      <c r="B1240" s="9" t="s">
        <v>3569</v>
      </c>
      <c r="C1240" s="19" t="s">
        <v>2117</v>
      </c>
      <c r="D1240" s="22" t="s">
        <v>3651</v>
      </c>
      <c r="E1240" s="19" t="s">
        <v>109</v>
      </c>
      <c r="F1240" s="19" t="s">
        <v>3652</v>
      </c>
      <c r="G1240" s="19" t="s">
        <v>146</v>
      </c>
      <c r="H1240" s="22" t="s">
        <v>365</v>
      </c>
      <c r="I1240" s="25" t="s">
        <v>3653</v>
      </c>
      <c r="J1240" s="19"/>
      <c r="K1240" s="19" t="s">
        <v>66</v>
      </c>
      <c r="L1240" s="22" t="s">
        <v>3654</v>
      </c>
      <c r="M1240" s="26"/>
      <c r="N1240" s="26"/>
      <c r="O1240" s="26"/>
      <c r="P1240" s="26"/>
      <c r="Q1240" s="26"/>
    </row>
    <row r="1241" ht="15.75" hidden="1" customHeight="1">
      <c r="A1241" s="31" t="s">
        <v>39</v>
      </c>
      <c r="B1241" s="9" t="s">
        <v>3569</v>
      </c>
      <c r="C1241" s="19" t="s">
        <v>3655</v>
      </c>
      <c r="D1241" s="22" t="s">
        <v>3656</v>
      </c>
      <c r="E1241" s="19" t="s">
        <v>109</v>
      </c>
      <c r="F1241" s="19" t="s">
        <v>631</v>
      </c>
      <c r="G1241" s="19" t="s">
        <v>146</v>
      </c>
      <c r="H1241" s="22" t="s">
        <v>365</v>
      </c>
      <c r="I1241" s="25" t="s">
        <v>3657</v>
      </c>
      <c r="J1241" s="19"/>
      <c r="K1241" s="19" t="s">
        <v>117</v>
      </c>
      <c r="L1241" s="22"/>
      <c r="M1241" s="26"/>
      <c r="N1241" s="26"/>
      <c r="O1241" s="26"/>
      <c r="P1241" s="26"/>
      <c r="Q1241" s="26"/>
    </row>
    <row r="1242" ht="15.75" hidden="1" customHeight="1">
      <c r="A1242" s="31" t="s">
        <v>39</v>
      </c>
      <c r="B1242" s="9" t="s">
        <v>3569</v>
      </c>
      <c r="C1242" s="19" t="s">
        <v>3658</v>
      </c>
      <c r="D1242" s="22" t="s">
        <v>3659</v>
      </c>
      <c r="E1242" s="19" t="s">
        <v>109</v>
      </c>
      <c r="F1242" s="19" t="s">
        <v>2093</v>
      </c>
      <c r="G1242" s="19" t="s">
        <v>146</v>
      </c>
      <c r="H1242" s="22" t="s">
        <v>365</v>
      </c>
      <c r="I1242" s="25" t="s">
        <v>3660</v>
      </c>
      <c r="J1242" s="19" t="s">
        <v>798</v>
      </c>
      <c r="K1242" s="19" t="s">
        <v>66</v>
      </c>
      <c r="L1242" s="22"/>
      <c r="M1242" s="26"/>
      <c r="N1242" s="26"/>
      <c r="O1242" s="26"/>
      <c r="P1242" s="26"/>
      <c r="Q1242" s="26"/>
    </row>
    <row r="1243" ht="15.75" hidden="1" customHeight="1">
      <c r="A1243" s="31" t="s">
        <v>39</v>
      </c>
      <c r="B1243" s="9" t="s">
        <v>3569</v>
      </c>
      <c r="C1243" s="19" t="s">
        <v>3265</v>
      </c>
      <c r="D1243" s="22" t="s">
        <v>3661</v>
      </c>
      <c r="E1243" s="19" t="s">
        <v>109</v>
      </c>
      <c r="F1243" s="19" t="s">
        <v>2221</v>
      </c>
      <c r="G1243" s="19" t="s">
        <v>57</v>
      </c>
      <c r="H1243" s="22" t="s">
        <v>365</v>
      </c>
      <c r="I1243" s="25" t="s">
        <v>3662</v>
      </c>
      <c r="J1243" s="19" t="s">
        <v>304</v>
      </c>
      <c r="K1243" s="19" t="s">
        <v>94</v>
      </c>
      <c r="L1243" s="22" t="s">
        <v>3663</v>
      </c>
      <c r="M1243" s="26"/>
      <c r="N1243" s="26"/>
      <c r="O1243" s="26"/>
      <c r="P1243" s="26"/>
      <c r="Q1243" s="26"/>
    </row>
    <row r="1244" ht="15.75" hidden="1" customHeight="1">
      <c r="A1244" s="31" t="s">
        <v>39</v>
      </c>
      <c r="B1244" s="9" t="s">
        <v>3569</v>
      </c>
      <c r="C1244" s="19" t="s">
        <v>3265</v>
      </c>
      <c r="D1244" s="22" t="s">
        <v>3664</v>
      </c>
      <c r="E1244" s="19" t="s">
        <v>109</v>
      </c>
      <c r="F1244" s="19" t="s">
        <v>2221</v>
      </c>
      <c r="G1244" s="19" t="s">
        <v>57</v>
      </c>
      <c r="H1244" s="22" t="s">
        <v>365</v>
      </c>
      <c r="I1244" s="25" t="s">
        <v>3275</v>
      </c>
      <c r="J1244" s="19" t="s">
        <v>3665</v>
      </c>
      <c r="K1244" s="19" t="s">
        <v>94</v>
      </c>
      <c r="L1244" s="22" t="s">
        <v>3663</v>
      </c>
      <c r="M1244" s="26"/>
      <c r="N1244" s="26"/>
      <c r="O1244" s="26"/>
      <c r="P1244" s="26"/>
      <c r="Q1244" s="26"/>
    </row>
    <row r="1245" ht="15.75" hidden="1" customHeight="1">
      <c r="A1245" s="31" t="s">
        <v>39</v>
      </c>
      <c r="B1245" s="9" t="s">
        <v>3569</v>
      </c>
      <c r="C1245" s="19" t="s">
        <v>3265</v>
      </c>
      <c r="D1245" s="22" t="s">
        <v>3666</v>
      </c>
      <c r="E1245" s="19" t="s">
        <v>109</v>
      </c>
      <c r="F1245" s="19" t="s">
        <v>1129</v>
      </c>
      <c r="G1245" s="19" t="s">
        <v>57</v>
      </c>
      <c r="H1245" s="22" t="s">
        <v>365</v>
      </c>
      <c r="I1245" s="25" t="s">
        <v>3667</v>
      </c>
      <c r="J1245" s="19" t="s">
        <v>304</v>
      </c>
      <c r="K1245" s="19" t="s">
        <v>94</v>
      </c>
      <c r="L1245" s="22" t="s">
        <v>3663</v>
      </c>
      <c r="M1245" s="26"/>
      <c r="N1245" s="26"/>
      <c r="O1245" s="26"/>
      <c r="P1245" s="26"/>
      <c r="Q1245" s="26"/>
    </row>
    <row r="1246" ht="15.75" hidden="1" customHeight="1">
      <c r="A1246" s="31" t="s">
        <v>39</v>
      </c>
      <c r="B1246" s="9" t="s">
        <v>3569</v>
      </c>
      <c r="C1246" s="19" t="s">
        <v>3668</v>
      </c>
      <c r="D1246" s="22" t="s">
        <v>3669</v>
      </c>
      <c r="E1246" s="19" t="s">
        <v>109</v>
      </c>
      <c r="F1246" s="19" t="s">
        <v>1160</v>
      </c>
      <c r="G1246" s="19" t="s">
        <v>57</v>
      </c>
      <c r="H1246" s="22" t="s">
        <v>365</v>
      </c>
      <c r="I1246" s="25" t="s">
        <v>3670</v>
      </c>
      <c r="J1246" s="19" t="s">
        <v>1135</v>
      </c>
      <c r="K1246" s="19" t="s">
        <v>105</v>
      </c>
      <c r="L1246" s="22" t="s">
        <v>3671</v>
      </c>
      <c r="M1246" s="26"/>
      <c r="N1246" s="26"/>
      <c r="O1246" s="26"/>
      <c r="P1246" s="26"/>
      <c r="Q1246" s="26"/>
    </row>
    <row r="1247" ht="15.75" hidden="1" customHeight="1">
      <c r="A1247" s="31" t="s">
        <v>39</v>
      </c>
      <c r="B1247" s="9" t="s">
        <v>3569</v>
      </c>
      <c r="C1247" s="19" t="s">
        <v>3672</v>
      </c>
      <c r="D1247" s="22" t="s">
        <v>3673</v>
      </c>
      <c r="E1247" s="19" t="s">
        <v>109</v>
      </c>
      <c r="F1247" s="19" t="s">
        <v>186</v>
      </c>
      <c r="G1247" s="19" t="s">
        <v>57</v>
      </c>
      <c r="H1247" s="22" t="s">
        <v>365</v>
      </c>
      <c r="I1247" s="25" t="s">
        <v>3674</v>
      </c>
      <c r="J1247" s="19"/>
      <c r="K1247" s="19" t="s">
        <v>278</v>
      </c>
      <c r="L1247" s="22" t="s">
        <v>1731</v>
      </c>
      <c r="M1247" s="26"/>
      <c r="N1247" s="26"/>
      <c r="O1247" s="26"/>
      <c r="P1247" s="26"/>
      <c r="Q1247" s="26"/>
    </row>
    <row r="1248" ht="15.75" hidden="1" customHeight="1">
      <c r="A1248" s="31" t="s">
        <v>39</v>
      </c>
      <c r="B1248" s="9" t="s">
        <v>3569</v>
      </c>
      <c r="C1248" s="19" t="s">
        <v>3675</v>
      </c>
      <c r="D1248" s="22" t="s">
        <v>656</v>
      </c>
      <c r="E1248" s="19" t="s">
        <v>109</v>
      </c>
      <c r="F1248" s="19" t="s">
        <v>3314</v>
      </c>
      <c r="G1248" s="19" t="s">
        <v>57</v>
      </c>
      <c r="H1248" s="22" t="s">
        <v>365</v>
      </c>
      <c r="I1248" s="25" t="s">
        <v>3676</v>
      </c>
      <c r="J1248" s="19" t="s">
        <v>95</v>
      </c>
      <c r="K1248" s="19" t="s">
        <v>52</v>
      </c>
      <c r="L1248" s="22"/>
      <c r="M1248" s="26"/>
      <c r="N1248" s="26"/>
      <c r="O1248" s="26"/>
      <c r="P1248" s="26"/>
      <c r="Q1248" s="26"/>
    </row>
    <row r="1249" ht="15.75" hidden="1" customHeight="1">
      <c r="A1249" s="31" t="s">
        <v>39</v>
      </c>
      <c r="B1249" s="9" t="s">
        <v>3569</v>
      </c>
      <c r="C1249" s="19" t="s">
        <v>2806</v>
      </c>
      <c r="D1249" s="22" t="s">
        <v>3041</v>
      </c>
      <c r="E1249" s="19" t="s">
        <v>109</v>
      </c>
      <c r="F1249" s="19" t="s">
        <v>186</v>
      </c>
      <c r="G1249" s="19" t="s">
        <v>57</v>
      </c>
      <c r="H1249" s="22" t="s">
        <v>365</v>
      </c>
      <c r="I1249" s="25" t="s">
        <v>2807</v>
      </c>
      <c r="J1249" s="19"/>
      <c r="K1249" s="19" t="s">
        <v>280</v>
      </c>
      <c r="L1249" s="22" t="s">
        <v>1731</v>
      </c>
      <c r="M1249" s="26"/>
      <c r="N1249" s="26"/>
      <c r="O1249" s="26"/>
      <c r="P1249" s="26"/>
      <c r="Q1249" s="26"/>
    </row>
    <row r="1250" ht="15.75" hidden="1" customHeight="1">
      <c r="A1250" s="31" t="s">
        <v>39</v>
      </c>
      <c r="B1250" s="9" t="s">
        <v>3569</v>
      </c>
      <c r="C1250" s="19" t="s">
        <v>1470</v>
      </c>
      <c r="D1250" s="22" t="s">
        <v>3677</v>
      </c>
      <c r="E1250" s="19" t="s">
        <v>109</v>
      </c>
      <c r="F1250" s="19" t="s">
        <v>1472</v>
      </c>
      <c r="G1250" s="19" t="s">
        <v>57</v>
      </c>
      <c r="H1250" s="22" t="s">
        <v>365</v>
      </c>
      <c r="I1250" s="25" t="s">
        <v>3678</v>
      </c>
      <c r="J1250" s="19" t="s">
        <v>982</v>
      </c>
      <c r="K1250" s="19" t="s">
        <v>66</v>
      </c>
      <c r="L1250" s="22"/>
      <c r="M1250" s="26"/>
      <c r="N1250" s="26"/>
      <c r="O1250" s="26"/>
      <c r="P1250" s="26"/>
      <c r="Q1250" s="26"/>
    </row>
    <row r="1251" ht="15.75" hidden="1" customHeight="1">
      <c r="A1251" s="31" t="s">
        <v>39</v>
      </c>
      <c r="B1251" s="9" t="s">
        <v>3569</v>
      </c>
      <c r="C1251" s="19" t="s">
        <v>3679</v>
      </c>
      <c r="D1251" s="22" t="s">
        <v>3680</v>
      </c>
      <c r="E1251" s="19" t="s">
        <v>109</v>
      </c>
      <c r="F1251" s="19" t="s">
        <v>3681</v>
      </c>
      <c r="G1251" s="19" t="s">
        <v>57</v>
      </c>
      <c r="H1251" s="22" t="s">
        <v>365</v>
      </c>
      <c r="I1251" s="25" t="s">
        <v>3682</v>
      </c>
      <c r="J1251" s="19"/>
      <c r="K1251" s="19" t="s">
        <v>122</v>
      </c>
      <c r="L1251" s="22" t="s">
        <v>539</v>
      </c>
      <c r="M1251" s="26"/>
      <c r="N1251" s="26"/>
      <c r="O1251" s="26"/>
      <c r="P1251" s="26"/>
      <c r="Q1251" s="26"/>
    </row>
    <row r="1252" ht="15.75" hidden="1" customHeight="1">
      <c r="A1252" s="31" t="s">
        <v>39</v>
      </c>
      <c r="B1252" s="9" t="s">
        <v>3569</v>
      </c>
      <c r="C1252" s="19" t="s">
        <v>3290</v>
      </c>
      <c r="D1252" s="22" t="s">
        <v>3683</v>
      </c>
      <c r="E1252" s="19" t="s">
        <v>109</v>
      </c>
      <c r="F1252" s="19" t="s">
        <v>3684</v>
      </c>
      <c r="G1252" s="19" t="s">
        <v>57</v>
      </c>
      <c r="H1252" s="22" t="s">
        <v>365</v>
      </c>
      <c r="I1252" s="25" t="s">
        <v>3292</v>
      </c>
      <c r="J1252" s="19" t="s">
        <v>1135</v>
      </c>
      <c r="K1252" s="19" t="s">
        <v>66</v>
      </c>
      <c r="L1252" s="22"/>
      <c r="M1252" s="26"/>
      <c r="N1252" s="26"/>
      <c r="O1252" s="26"/>
      <c r="P1252" s="26"/>
      <c r="Q1252" s="26"/>
    </row>
    <row r="1253" ht="15.75" hidden="1" customHeight="1">
      <c r="A1253" s="31" t="s">
        <v>39</v>
      </c>
      <c r="B1253" s="9" t="s">
        <v>3569</v>
      </c>
      <c r="C1253" s="19" t="s">
        <v>2917</v>
      </c>
      <c r="D1253" s="22" t="s">
        <v>3685</v>
      </c>
      <c r="E1253" s="19" t="s">
        <v>109</v>
      </c>
      <c r="F1253" s="19" t="s">
        <v>2919</v>
      </c>
      <c r="G1253" s="19" t="s">
        <v>57</v>
      </c>
      <c r="H1253" s="22" t="s">
        <v>365</v>
      </c>
      <c r="I1253" s="25" t="s">
        <v>3686</v>
      </c>
      <c r="J1253" s="19" t="s">
        <v>319</v>
      </c>
      <c r="K1253" s="19" t="s">
        <v>52</v>
      </c>
      <c r="L1253" s="22"/>
      <c r="M1253" s="26"/>
      <c r="N1253" s="26"/>
      <c r="O1253" s="26"/>
      <c r="P1253" s="26"/>
      <c r="Q1253" s="26"/>
    </row>
    <row r="1254" ht="15.75" hidden="1" customHeight="1">
      <c r="A1254" s="31" t="s">
        <v>39</v>
      </c>
      <c r="B1254" s="9" t="s">
        <v>3569</v>
      </c>
      <c r="C1254" s="19" t="s">
        <v>3687</v>
      </c>
      <c r="D1254" s="22" t="s">
        <v>3688</v>
      </c>
      <c r="E1254" s="19" t="s">
        <v>109</v>
      </c>
      <c r="F1254" s="19" t="s">
        <v>2075</v>
      </c>
      <c r="G1254" s="19" t="s">
        <v>146</v>
      </c>
      <c r="H1254" s="22" t="s">
        <v>365</v>
      </c>
      <c r="I1254" s="25" t="s">
        <v>3689</v>
      </c>
      <c r="J1254" s="19"/>
      <c r="K1254" s="19" t="s">
        <v>66</v>
      </c>
      <c r="L1254" s="22" t="s">
        <v>3654</v>
      </c>
      <c r="M1254" s="26"/>
      <c r="N1254" s="26"/>
      <c r="O1254" s="26"/>
      <c r="P1254" s="26"/>
      <c r="Q1254" s="26"/>
    </row>
    <row r="1255" ht="15.75" hidden="1" customHeight="1">
      <c r="A1255" s="31" t="s">
        <v>39</v>
      </c>
      <c r="B1255" s="9" t="s">
        <v>3569</v>
      </c>
      <c r="C1255" s="19" t="s">
        <v>3687</v>
      </c>
      <c r="D1255" s="22" t="s">
        <v>3690</v>
      </c>
      <c r="E1255" s="19" t="s">
        <v>109</v>
      </c>
      <c r="F1255" s="19" t="s">
        <v>2075</v>
      </c>
      <c r="G1255" s="19" t="s">
        <v>146</v>
      </c>
      <c r="H1255" s="22" t="s">
        <v>365</v>
      </c>
      <c r="I1255" s="25" t="s">
        <v>3689</v>
      </c>
      <c r="J1255" s="19"/>
      <c r="K1255" s="19" t="s">
        <v>66</v>
      </c>
      <c r="L1255" s="22" t="s">
        <v>3654</v>
      </c>
      <c r="M1255" s="26"/>
      <c r="N1255" s="26"/>
      <c r="O1255" s="26"/>
      <c r="P1255" s="26"/>
      <c r="Q1255" s="26"/>
    </row>
    <row r="1256" ht="15.75" hidden="1" customHeight="1">
      <c r="A1256" s="31" t="s">
        <v>39</v>
      </c>
      <c r="B1256" s="9" t="s">
        <v>3569</v>
      </c>
      <c r="C1256" s="19" t="s">
        <v>3687</v>
      </c>
      <c r="D1256" s="22" t="s">
        <v>3691</v>
      </c>
      <c r="E1256" s="19" t="s">
        <v>109</v>
      </c>
      <c r="F1256" s="19" t="s">
        <v>3692</v>
      </c>
      <c r="G1256" s="19" t="s">
        <v>146</v>
      </c>
      <c r="H1256" s="22" t="s">
        <v>365</v>
      </c>
      <c r="I1256" s="25" t="s">
        <v>3693</v>
      </c>
      <c r="J1256" s="19"/>
      <c r="K1256" s="19" t="s">
        <v>66</v>
      </c>
      <c r="L1256" s="22" t="s">
        <v>3694</v>
      </c>
      <c r="M1256" s="26"/>
      <c r="N1256" s="26"/>
      <c r="O1256" s="26"/>
      <c r="P1256" s="26"/>
      <c r="Q1256" s="26"/>
    </row>
    <row r="1257" ht="15.75" hidden="1" customHeight="1">
      <c r="A1257" s="31" t="s">
        <v>39</v>
      </c>
      <c r="B1257" s="9" t="s">
        <v>3569</v>
      </c>
      <c r="C1257" s="19" t="s">
        <v>3687</v>
      </c>
      <c r="D1257" s="22" t="s">
        <v>3695</v>
      </c>
      <c r="E1257" s="19" t="s">
        <v>109</v>
      </c>
      <c r="F1257" s="19" t="s">
        <v>3696</v>
      </c>
      <c r="G1257" s="19" t="s">
        <v>146</v>
      </c>
      <c r="H1257" s="22" t="s">
        <v>365</v>
      </c>
      <c r="I1257" s="25" t="s">
        <v>3697</v>
      </c>
      <c r="J1257" s="19"/>
      <c r="K1257" s="19" t="s">
        <v>66</v>
      </c>
      <c r="L1257" s="22" t="s">
        <v>3654</v>
      </c>
      <c r="M1257" s="26"/>
      <c r="N1257" s="26"/>
      <c r="O1257" s="26"/>
      <c r="P1257" s="26"/>
      <c r="Q1257" s="26"/>
    </row>
    <row r="1258" ht="15.75" hidden="1" customHeight="1">
      <c r="A1258" s="31" t="s">
        <v>39</v>
      </c>
      <c r="B1258" s="9" t="s">
        <v>3569</v>
      </c>
      <c r="C1258" s="19" t="s">
        <v>3698</v>
      </c>
      <c r="D1258" s="22" t="s">
        <v>3699</v>
      </c>
      <c r="E1258" s="19" t="s">
        <v>109</v>
      </c>
      <c r="F1258" s="19" t="s">
        <v>2221</v>
      </c>
      <c r="G1258" s="19" t="s">
        <v>57</v>
      </c>
      <c r="H1258" s="22" t="s">
        <v>365</v>
      </c>
      <c r="I1258" s="25" t="s">
        <v>3700</v>
      </c>
      <c r="J1258" s="19" t="s">
        <v>95</v>
      </c>
      <c r="K1258" s="19" t="s">
        <v>52</v>
      </c>
      <c r="L1258" s="22"/>
      <c r="M1258" s="26"/>
      <c r="N1258" s="26"/>
      <c r="O1258" s="26"/>
      <c r="P1258" s="26"/>
      <c r="Q1258" s="26"/>
    </row>
    <row r="1259" ht="15.75" hidden="1" customHeight="1">
      <c r="A1259" s="31" t="s">
        <v>39</v>
      </c>
      <c r="B1259" s="9" t="s">
        <v>3569</v>
      </c>
      <c r="C1259" s="19" t="s">
        <v>3698</v>
      </c>
      <c r="D1259" s="22" t="s">
        <v>3701</v>
      </c>
      <c r="E1259" s="19" t="s">
        <v>109</v>
      </c>
      <c r="F1259" s="19" t="s">
        <v>2221</v>
      </c>
      <c r="G1259" s="19" t="s">
        <v>57</v>
      </c>
      <c r="H1259" s="22" t="s">
        <v>365</v>
      </c>
      <c r="I1259" s="25" t="s">
        <v>3702</v>
      </c>
      <c r="J1259" s="19" t="s">
        <v>95</v>
      </c>
      <c r="K1259" s="19" t="s">
        <v>52</v>
      </c>
      <c r="L1259" s="22"/>
      <c r="M1259" s="26"/>
      <c r="N1259" s="26"/>
      <c r="O1259" s="26"/>
      <c r="P1259" s="26"/>
      <c r="Q1259" s="26"/>
    </row>
    <row r="1260" ht="15.75" hidden="1" customHeight="1">
      <c r="A1260" s="31" t="s">
        <v>39</v>
      </c>
      <c r="B1260" s="9" t="s">
        <v>3569</v>
      </c>
      <c r="C1260" s="19" t="s">
        <v>3698</v>
      </c>
      <c r="D1260" s="22" t="s">
        <v>2989</v>
      </c>
      <c r="E1260" s="19" t="s">
        <v>109</v>
      </c>
      <c r="F1260" s="19" t="s">
        <v>2221</v>
      </c>
      <c r="G1260" s="19" t="s">
        <v>57</v>
      </c>
      <c r="H1260" s="22" t="s">
        <v>365</v>
      </c>
      <c r="I1260" s="25" t="s">
        <v>3703</v>
      </c>
      <c r="J1260" s="19" t="s">
        <v>95</v>
      </c>
      <c r="K1260" s="19" t="s">
        <v>52</v>
      </c>
      <c r="L1260" s="22"/>
      <c r="M1260" s="26"/>
      <c r="N1260" s="26"/>
      <c r="O1260" s="26"/>
      <c r="P1260" s="26"/>
      <c r="Q1260" s="26"/>
    </row>
    <row r="1261" ht="15.75" hidden="1" customHeight="1">
      <c r="A1261" s="31" t="s">
        <v>39</v>
      </c>
      <c r="B1261" s="9" t="s">
        <v>3569</v>
      </c>
      <c r="C1261" s="19" t="s">
        <v>3704</v>
      </c>
      <c r="D1261" s="22" t="s">
        <v>3705</v>
      </c>
      <c r="E1261" s="19" t="s">
        <v>109</v>
      </c>
      <c r="F1261" s="19" t="s">
        <v>560</v>
      </c>
      <c r="G1261" s="19" t="s">
        <v>57</v>
      </c>
      <c r="H1261" s="22" t="s">
        <v>365</v>
      </c>
      <c r="I1261" s="25" t="s">
        <v>3706</v>
      </c>
      <c r="J1261" s="19" t="s">
        <v>1217</v>
      </c>
      <c r="K1261" s="19" t="s">
        <v>66</v>
      </c>
      <c r="L1261" s="22"/>
      <c r="M1261" s="26"/>
      <c r="N1261" s="26"/>
      <c r="O1261" s="26"/>
      <c r="P1261" s="26"/>
      <c r="Q1261" s="26"/>
    </row>
    <row r="1262" ht="15.75" hidden="1" customHeight="1">
      <c r="A1262" s="31" t="s">
        <v>39</v>
      </c>
      <c r="B1262" s="9" t="s">
        <v>3569</v>
      </c>
      <c r="C1262" s="19" t="s">
        <v>3302</v>
      </c>
      <c r="D1262" s="22" t="s">
        <v>2780</v>
      </c>
      <c r="E1262" s="19" t="s">
        <v>109</v>
      </c>
      <c r="F1262" s="19" t="s">
        <v>3304</v>
      </c>
      <c r="G1262" s="19" t="s">
        <v>57</v>
      </c>
      <c r="H1262" s="22" t="s">
        <v>365</v>
      </c>
      <c r="I1262" s="25" t="s">
        <v>3305</v>
      </c>
      <c r="J1262" s="19" t="s">
        <v>95</v>
      </c>
      <c r="K1262" s="19" t="s">
        <v>66</v>
      </c>
      <c r="L1262" s="22"/>
      <c r="M1262" s="26"/>
      <c r="N1262" s="26"/>
      <c r="O1262" s="26"/>
      <c r="P1262" s="26"/>
      <c r="Q1262" s="26"/>
    </row>
    <row r="1263" ht="15.75" hidden="1" customHeight="1">
      <c r="A1263" s="31" t="s">
        <v>39</v>
      </c>
      <c r="B1263" s="9" t="s">
        <v>3569</v>
      </c>
      <c r="C1263" s="19" t="s">
        <v>3707</v>
      </c>
      <c r="D1263" s="22" t="s">
        <v>3708</v>
      </c>
      <c r="E1263" s="19" t="s">
        <v>109</v>
      </c>
      <c r="F1263" s="19" t="s">
        <v>1129</v>
      </c>
      <c r="G1263" s="19" t="s">
        <v>57</v>
      </c>
      <c r="H1263" s="22" t="s">
        <v>365</v>
      </c>
      <c r="I1263" s="25" t="s">
        <v>3709</v>
      </c>
      <c r="J1263" s="19" t="s">
        <v>1445</v>
      </c>
      <c r="K1263" s="19" t="s">
        <v>66</v>
      </c>
      <c r="L1263" s="22"/>
      <c r="M1263" s="26"/>
      <c r="N1263" s="26"/>
      <c r="O1263" s="26"/>
      <c r="P1263" s="26"/>
      <c r="Q1263" s="26"/>
    </row>
    <row r="1264" ht="15.75" hidden="1" customHeight="1">
      <c r="A1264" s="31" t="s">
        <v>39</v>
      </c>
      <c r="B1264" s="9" t="s">
        <v>3569</v>
      </c>
      <c r="C1264" s="19" t="s">
        <v>1487</v>
      </c>
      <c r="D1264" s="22" t="s">
        <v>2828</v>
      </c>
      <c r="E1264" s="19" t="s">
        <v>109</v>
      </c>
      <c r="F1264" s="19" t="s">
        <v>1936</v>
      </c>
      <c r="G1264" s="19" t="s">
        <v>57</v>
      </c>
      <c r="H1264" s="22" t="s">
        <v>365</v>
      </c>
      <c r="I1264" s="25" t="s">
        <v>3710</v>
      </c>
      <c r="J1264" s="19" t="s">
        <v>982</v>
      </c>
      <c r="K1264" s="19" t="s">
        <v>66</v>
      </c>
      <c r="L1264" s="22"/>
      <c r="M1264" s="26"/>
      <c r="N1264" s="26"/>
      <c r="O1264" s="26"/>
      <c r="P1264" s="26"/>
      <c r="Q1264" s="26"/>
    </row>
    <row r="1265" ht="15.75" hidden="1" customHeight="1">
      <c r="A1265" s="31" t="s">
        <v>39</v>
      </c>
      <c r="B1265" s="9" t="s">
        <v>3569</v>
      </c>
      <c r="C1265" s="19" t="s">
        <v>1487</v>
      </c>
      <c r="D1265" s="22" t="s">
        <v>1939</v>
      </c>
      <c r="E1265" s="19" t="s">
        <v>109</v>
      </c>
      <c r="F1265" s="19" t="s">
        <v>1936</v>
      </c>
      <c r="G1265" s="19" t="s">
        <v>57</v>
      </c>
      <c r="H1265" s="22" t="s">
        <v>365</v>
      </c>
      <c r="I1265" s="25" t="s">
        <v>3306</v>
      </c>
      <c r="J1265" s="19" t="s">
        <v>1135</v>
      </c>
      <c r="K1265" s="19" t="s">
        <v>66</v>
      </c>
      <c r="L1265" s="22"/>
      <c r="M1265" s="26"/>
      <c r="N1265" s="26"/>
      <c r="O1265" s="26"/>
      <c r="P1265" s="26"/>
      <c r="Q1265" s="26"/>
    </row>
    <row r="1266" ht="15.75" hidden="1" customHeight="1">
      <c r="A1266" s="31" t="s">
        <v>39</v>
      </c>
      <c r="B1266" s="9" t="s">
        <v>3569</v>
      </c>
      <c r="C1266" s="19" t="s">
        <v>3711</v>
      </c>
      <c r="D1266" s="22" t="s">
        <v>3712</v>
      </c>
      <c r="E1266" s="19" t="s">
        <v>109</v>
      </c>
      <c r="F1266" s="19" t="s">
        <v>421</v>
      </c>
      <c r="G1266" s="19" t="s">
        <v>57</v>
      </c>
      <c r="H1266" s="22" t="s">
        <v>365</v>
      </c>
      <c r="I1266" s="25" t="s">
        <v>3713</v>
      </c>
      <c r="J1266" s="19" t="s">
        <v>982</v>
      </c>
      <c r="K1266" s="19" t="s">
        <v>82</v>
      </c>
      <c r="L1266" s="22" t="s">
        <v>3714</v>
      </c>
      <c r="M1266" s="26"/>
      <c r="N1266" s="26"/>
      <c r="O1266" s="26"/>
      <c r="P1266" s="26"/>
      <c r="Q1266" s="26"/>
    </row>
    <row r="1267" ht="15.75" hidden="1" customHeight="1">
      <c r="A1267" s="31" t="s">
        <v>39</v>
      </c>
      <c r="B1267" s="9" t="s">
        <v>3569</v>
      </c>
      <c r="C1267" s="19" t="s">
        <v>3715</v>
      </c>
      <c r="D1267" s="22" t="s">
        <v>3716</v>
      </c>
      <c r="E1267" s="19" t="s">
        <v>109</v>
      </c>
      <c r="F1267" s="19" t="s">
        <v>868</v>
      </c>
      <c r="G1267" s="19" t="s">
        <v>57</v>
      </c>
      <c r="H1267" s="22" t="s">
        <v>365</v>
      </c>
      <c r="I1267" s="25" t="s">
        <v>3717</v>
      </c>
      <c r="J1267" s="19" t="s">
        <v>95</v>
      </c>
      <c r="K1267" s="19" t="s">
        <v>52</v>
      </c>
      <c r="L1267" s="22"/>
      <c r="M1267" s="26"/>
      <c r="N1267" s="26"/>
      <c r="O1267" s="26"/>
      <c r="P1267" s="26"/>
      <c r="Q1267" s="26"/>
    </row>
    <row r="1268" ht="15.75" hidden="1" customHeight="1">
      <c r="A1268" s="31" t="s">
        <v>39</v>
      </c>
      <c r="B1268" s="9" t="s">
        <v>3569</v>
      </c>
      <c r="C1268" s="19" t="s">
        <v>3718</v>
      </c>
      <c r="D1268" s="22" t="s">
        <v>3719</v>
      </c>
      <c r="E1268" s="19" t="s">
        <v>109</v>
      </c>
      <c r="F1268" s="19" t="s">
        <v>521</v>
      </c>
      <c r="G1268" s="19" t="s">
        <v>57</v>
      </c>
      <c r="H1268" s="22" t="s">
        <v>365</v>
      </c>
      <c r="I1268" s="25" t="s">
        <v>3720</v>
      </c>
      <c r="J1268" s="19" t="s">
        <v>337</v>
      </c>
      <c r="K1268" s="19" t="s">
        <v>66</v>
      </c>
      <c r="L1268" s="22"/>
      <c r="M1268" s="26"/>
      <c r="N1268" s="26"/>
      <c r="O1268" s="26"/>
      <c r="P1268" s="26"/>
      <c r="Q1268" s="26"/>
    </row>
    <row r="1269" ht="15.75" hidden="1" customHeight="1">
      <c r="A1269" s="31" t="s">
        <v>39</v>
      </c>
      <c r="B1269" s="9" t="s">
        <v>3569</v>
      </c>
      <c r="C1269" s="19" t="s">
        <v>3721</v>
      </c>
      <c r="D1269" s="22" t="s">
        <v>3722</v>
      </c>
      <c r="E1269" s="19" t="s">
        <v>109</v>
      </c>
      <c r="F1269" s="19" t="s">
        <v>2534</v>
      </c>
      <c r="G1269" s="19" t="s">
        <v>57</v>
      </c>
      <c r="H1269" s="22" t="s">
        <v>365</v>
      </c>
      <c r="I1269" s="25" t="s">
        <v>3723</v>
      </c>
      <c r="J1269" s="19" t="s">
        <v>456</v>
      </c>
      <c r="K1269" s="19" t="s">
        <v>156</v>
      </c>
      <c r="L1269" s="22"/>
      <c r="M1269" s="26"/>
      <c r="N1269" s="26"/>
      <c r="O1269" s="26"/>
      <c r="P1269" s="26"/>
      <c r="Q1269" s="26"/>
    </row>
    <row r="1270" ht="15.75" hidden="1" customHeight="1">
      <c r="A1270" s="31" t="s">
        <v>39</v>
      </c>
      <c r="B1270" s="9" t="s">
        <v>3569</v>
      </c>
      <c r="C1270" s="19" t="s">
        <v>3724</v>
      </c>
      <c r="D1270" s="22" t="s">
        <v>3725</v>
      </c>
      <c r="E1270" s="19" t="s">
        <v>109</v>
      </c>
      <c r="F1270" s="19" t="s">
        <v>3726</v>
      </c>
      <c r="G1270" s="19" t="s">
        <v>146</v>
      </c>
      <c r="H1270" s="22" t="s">
        <v>365</v>
      </c>
      <c r="I1270" s="25" t="s">
        <v>3727</v>
      </c>
      <c r="J1270" s="19" t="s">
        <v>140</v>
      </c>
      <c r="K1270" s="19" t="s">
        <v>99</v>
      </c>
      <c r="L1270" s="22" t="s">
        <v>3728</v>
      </c>
      <c r="M1270" s="26"/>
      <c r="N1270" s="26"/>
      <c r="O1270" s="26"/>
      <c r="P1270" s="26"/>
      <c r="Q1270" s="26"/>
    </row>
    <row r="1271" ht="15.75" hidden="1" customHeight="1">
      <c r="A1271" s="31" t="s">
        <v>39</v>
      </c>
      <c r="B1271" s="9" t="s">
        <v>3569</v>
      </c>
      <c r="C1271" s="19" t="s">
        <v>3311</v>
      </c>
      <c r="D1271" s="22" t="s">
        <v>3729</v>
      </c>
      <c r="E1271" s="19" t="s">
        <v>109</v>
      </c>
      <c r="F1271" s="19" t="s">
        <v>1236</v>
      </c>
      <c r="G1271" s="19" t="s">
        <v>146</v>
      </c>
      <c r="H1271" s="22" t="s">
        <v>365</v>
      </c>
      <c r="I1271" s="25" t="s">
        <v>3730</v>
      </c>
      <c r="J1271" s="19" t="s">
        <v>1371</v>
      </c>
      <c r="K1271" s="19" t="s">
        <v>193</v>
      </c>
      <c r="L1271" s="22"/>
      <c r="M1271" s="26"/>
      <c r="N1271" s="26"/>
      <c r="O1271" s="26"/>
      <c r="P1271" s="26"/>
      <c r="Q1271" s="26"/>
    </row>
    <row r="1272" ht="15.75" hidden="1" customHeight="1">
      <c r="A1272" s="31" t="s">
        <v>39</v>
      </c>
      <c r="B1272" s="9" t="s">
        <v>3569</v>
      </c>
      <c r="C1272" s="19" t="s">
        <v>3311</v>
      </c>
      <c r="D1272" s="22" t="s">
        <v>3731</v>
      </c>
      <c r="E1272" s="19" t="s">
        <v>109</v>
      </c>
      <c r="F1272" s="19" t="s">
        <v>1236</v>
      </c>
      <c r="G1272" s="19" t="s">
        <v>146</v>
      </c>
      <c r="H1272" s="22" t="s">
        <v>365</v>
      </c>
      <c r="I1272" s="25" t="s">
        <v>3732</v>
      </c>
      <c r="J1272" s="19" t="s">
        <v>782</v>
      </c>
      <c r="K1272" s="19" t="s">
        <v>66</v>
      </c>
      <c r="L1272" s="22"/>
      <c r="M1272" s="26"/>
      <c r="N1272" s="26"/>
      <c r="O1272" s="26"/>
      <c r="P1272" s="26"/>
      <c r="Q1272" s="26"/>
    </row>
    <row r="1273" ht="15.75" hidden="1" customHeight="1">
      <c r="A1273" s="31" t="s">
        <v>39</v>
      </c>
      <c r="B1273" s="9" t="s">
        <v>3569</v>
      </c>
      <c r="C1273" s="19" t="s">
        <v>3311</v>
      </c>
      <c r="D1273" s="22" t="s">
        <v>3199</v>
      </c>
      <c r="E1273" s="19" t="s">
        <v>109</v>
      </c>
      <c r="F1273" s="19" t="s">
        <v>1236</v>
      </c>
      <c r="G1273" s="19" t="s">
        <v>146</v>
      </c>
      <c r="H1273" s="22" t="s">
        <v>365</v>
      </c>
      <c r="I1273" s="25" t="s">
        <v>3733</v>
      </c>
      <c r="J1273" s="19" t="s">
        <v>1371</v>
      </c>
      <c r="K1273" s="19" t="s">
        <v>66</v>
      </c>
      <c r="L1273" s="22"/>
      <c r="M1273" s="26"/>
      <c r="N1273" s="26"/>
      <c r="O1273" s="26"/>
      <c r="P1273" s="26"/>
      <c r="Q1273" s="26"/>
    </row>
    <row r="1274" ht="15.75" hidden="1" customHeight="1">
      <c r="A1274" s="31" t="s">
        <v>39</v>
      </c>
      <c r="B1274" s="9" t="s">
        <v>3569</v>
      </c>
      <c r="C1274" s="19" t="s">
        <v>3734</v>
      </c>
      <c r="D1274" s="22" t="s">
        <v>3735</v>
      </c>
      <c r="E1274" s="19" t="s">
        <v>109</v>
      </c>
      <c r="F1274" s="19" t="s">
        <v>186</v>
      </c>
      <c r="G1274" s="19" t="s">
        <v>57</v>
      </c>
      <c r="H1274" s="22" t="s">
        <v>365</v>
      </c>
      <c r="I1274" s="25" t="s">
        <v>3736</v>
      </c>
      <c r="J1274" s="19"/>
      <c r="K1274" s="19" t="s">
        <v>283</v>
      </c>
      <c r="L1274" s="22" t="s">
        <v>1731</v>
      </c>
      <c r="M1274" s="26"/>
      <c r="N1274" s="26"/>
      <c r="O1274" s="26"/>
      <c r="P1274" s="26"/>
      <c r="Q1274" s="26"/>
    </row>
    <row r="1275" ht="15.75" hidden="1" customHeight="1">
      <c r="A1275" s="31" t="s">
        <v>39</v>
      </c>
      <c r="B1275" s="9" t="s">
        <v>3569</v>
      </c>
      <c r="C1275" s="19" t="s">
        <v>2725</v>
      </c>
      <c r="D1275" s="22" t="s">
        <v>3737</v>
      </c>
      <c r="E1275" s="19" t="s">
        <v>121</v>
      </c>
      <c r="F1275" s="19" t="s">
        <v>421</v>
      </c>
      <c r="G1275" s="19" t="s">
        <v>57</v>
      </c>
      <c r="H1275" s="24" t="s">
        <v>59</v>
      </c>
      <c r="I1275" s="25" t="s">
        <v>3738</v>
      </c>
      <c r="J1275" s="19" t="s">
        <v>558</v>
      </c>
      <c r="K1275" s="19" t="s">
        <v>94</v>
      </c>
      <c r="L1275" s="22" t="s">
        <v>2729</v>
      </c>
      <c r="M1275" s="26"/>
      <c r="N1275" s="26"/>
      <c r="O1275" s="26"/>
      <c r="P1275" s="26"/>
      <c r="Q1275" s="26"/>
    </row>
    <row r="1276" ht="15.75" hidden="1" customHeight="1">
      <c r="A1276" s="31" t="s">
        <v>39</v>
      </c>
      <c r="B1276" s="9" t="s">
        <v>3569</v>
      </c>
      <c r="C1276" s="19" t="s">
        <v>3739</v>
      </c>
      <c r="D1276" s="22" t="s">
        <v>3740</v>
      </c>
      <c r="E1276" s="19" t="s">
        <v>109</v>
      </c>
      <c r="F1276" s="19" t="s">
        <v>3369</v>
      </c>
      <c r="G1276" s="19" t="s">
        <v>57</v>
      </c>
      <c r="H1276" s="22" t="s">
        <v>365</v>
      </c>
      <c r="I1276" s="25" t="s">
        <v>3741</v>
      </c>
      <c r="J1276" s="19"/>
      <c r="K1276" s="19" t="s">
        <v>99</v>
      </c>
      <c r="L1276" s="22" t="s">
        <v>3593</v>
      </c>
      <c r="M1276" s="26"/>
      <c r="N1276" s="26"/>
      <c r="O1276" s="26"/>
      <c r="P1276" s="26"/>
      <c r="Q1276" s="26"/>
    </row>
    <row r="1277" ht="15.75" hidden="1" customHeight="1">
      <c r="A1277" s="31" t="s">
        <v>39</v>
      </c>
      <c r="B1277" s="9" t="s">
        <v>3569</v>
      </c>
      <c r="C1277" s="19" t="s">
        <v>1503</v>
      </c>
      <c r="D1277" s="22" t="s">
        <v>3742</v>
      </c>
      <c r="E1277" s="19" t="s">
        <v>109</v>
      </c>
      <c r="F1277" s="19" t="s">
        <v>241</v>
      </c>
      <c r="G1277" s="19" t="s">
        <v>57</v>
      </c>
      <c r="H1277" s="22" t="s">
        <v>365</v>
      </c>
      <c r="I1277" s="25" t="s">
        <v>3743</v>
      </c>
      <c r="J1277" s="19" t="s">
        <v>1400</v>
      </c>
      <c r="K1277" s="19" t="s">
        <v>66</v>
      </c>
      <c r="L1277" s="22"/>
      <c r="M1277" s="26"/>
      <c r="N1277" s="26"/>
      <c r="O1277" s="26"/>
      <c r="P1277" s="26"/>
      <c r="Q1277" s="26"/>
    </row>
    <row r="1278" ht="15.75" hidden="1" customHeight="1">
      <c r="A1278" s="31" t="s">
        <v>39</v>
      </c>
      <c r="B1278" s="9" t="s">
        <v>3569</v>
      </c>
      <c r="C1278" s="19" t="s">
        <v>2191</v>
      </c>
      <c r="D1278" s="22" t="s">
        <v>3348</v>
      </c>
      <c r="E1278" s="19" t="s">
        <v>109</v>
      </c>
      <c r="F1278" s="19" t="s">
        <v>241</v>
      </c>
      <c r="G1278" s="19" t="s">
        <v>57</v>
      </c>
      <c r="H1278" s="22" t="s">
        <v>365</v>
      </c>
      <c r="I1278" s="25" t="s">
        <v>1510</v>
      </c>
      <c r="J1278" s="19" t="s">
        <v>3744</v>
      </c>
      <c r="K1278" s="19" t="s">
        <v>94</v>
      </c>
      <c r="L1278" s="22" t="s">
        <v>3745</v>
      </c>
      <c r="M1278" s="26"/>
      <c r="N1278" s="26"/>
      <c r="O1278" s="26"/>
      <c r="P1278" s="26"/>
      <c r="Q1278" s="26"/>
    </row>
    <row r="1279" ht="15.75" hidden="1" customHeight="1">
      <c r="A1279" s="31" t="s">
        <v>39</v>
      </c>
      <c r="B1279" s="9" t="s">
        <v>3569</v>
      </c>
      <c r="C1279" s="19" t="s">
        <v>3746</v>
      </c>
      <c r="D1279" s="22" t="s">
        <v>3747</v>
      </c>
      <c r="E1279" s="19" t="s">
        <v>109</v>
      </c>
      <c r="F1279" s="19" t="s">
        <v>3748</v>
      </c>
      <c r="G1279" s="19" t="s">
        <v>57</v>
      </c>
      <c r="H1279" s="22" t="s">
        <v>365</v>
      </c>
      <c r="I1279" s="25" t="s">
        <v>3749</v>
      </c>
      <c r="J1279" s="19" t="s">
        <v>456</v>
      </c>
      <c r="K1279" s="19" t="s">
        <v>105</v>
      </c>
      <c r="L1279" s="22" t="s">
        <v>3750</v>
      </c>
      <c r="M1279" s="26"/>
      <c r="N1279" s="26"/>
      <c r="O1279" s="26"/>
      <c r="P1279" s="26"/>
      <c r="Q1279" s="26"/>
    </row>
    <row r="1280" ht="15.75" hidden="1" customHeight="1">
      <c r="A1280" s="31" t="s">
        <v>39</v>
      </c>
      <c r="B1280" s="9" t="s">
        <v>3569</v>
      </c>
      <c r="C1280" s="19" t="s">
        <v>3751</v>
      </c>
      <c r="D1280" s="22" t="s">
        <v>3752</v>
      </c>
      <c r="E1280" s="19" t="s">
        <v>109</v>
      </c>
      <c r="F1280" s="19" t="s">
        <v>521</v>
      </c>
      <c r="G1280" s="19" t="s">
        <v>146</v>
      </c>
      <c r="H1280" s="22" t="s">
        <v>365</v>
      </c>
      <c r="I1280" s="25" t="s">
        <v>3753</v>
      </c>
      <c r="J1280" s="19" t="s">
        <v>1435</v>
      </c>
      <c r="K1280" s="19" t="s">
        <v>180</v>
      </c>
      <c r="L1280" s="22" t="s">
        <v>3754</v>
      </c>
      <c r="M1280" s="26"/>
      <c r="N1280" s="26"/>
      <c r="O1280" s="26"/>
      <c r="P1280" s="26"/>
      <c r="Q1280" s="26"/>
    </row>
    <row r="1281" ht="15.75" hidden="1" customHeight="1">
      <c r="A1281" s="31" t="s">
        <v>39</v>
      </c>
      <c r="B1281" s="9" t="s">
        <v>3569</v>
      </c>
      <c r="C1281" s="19" t="s">
        <v>3751</v>
      </c>
      <c r="D1281" s="22" t="s">
        <v>3755</v>
      </c>
      <c r="E1281" s="19" t="s">
        <v>109</v>
      </c>
      <c r="F1281" s="19" t="s">
        <v>521</v>
      </c>
      <c r="G1281" s="19" t="s">
        <v>146</v>
      </c>
      <c r="H1281" s="22" t="s">
        <v>365</v>
      </c>
      <c r="I1281" s="25" t="s">
        <v>3756</v>
      </c>
      <c r="J1281" s="19" t="s">
        <v>1435</v>
      </c>
      <c r="K1281" s="19" t="s">
        <v>180</v>
      </c>
      <c r="L1281" s="22" t="s">
        <v>3754</v>
      </c>
      <c r="M1281" s="26"/>
      <c r="N1281" s="26"/>
      <c r="O1281" s="26"/>
      <c r="P1281" s="26"/>
      <c r="Q1281" s="26"/>
    </row>
    <row r="1282" ht="15.75" hidden="1" customHeight="1">
      <c r="A1282" s="31" t="s">
        <v>39</v>
      </c>
      <c r="B1282" s="9" t="s">
        <v>3569</v>
      </c>
      <c r="C1282" s="19" t="s">
        <v>2935</v>
      </c>
      <c r="D1282" s="22" t="s">
        <v>3757</v>
      </c>
      <c r="E1282" s="19" t="s">
        <v>109</v>
      </c>
      <c r="F1282" s="19" t="s">
        <v>2937</v>
      </c>
      <c r="G1282" s="19" t="s">
        <v>57</v>
      </c>
      <c r="H1282" s="22" t="s">
        <v>365</v>
      </c>
      <c r="I1282" s="25" t="s">
        <v>3758</v>
      </c>
      <c r="J1282" s="19" t="s">
        <v>95</v>
      </c>
      <c r="K1282" s="19" t="s">
        <v>52</v>
      </c>
      <c r="L1282" s="22" t="s">
        <v>3759</v>
      </c>
      <c r="M1282" s="26"/>
      <c r="N1282" s="26"/>
      <c r="O1282" s="26"/>
      <c r="P1282" s="26"/>
      <c r="Q1282" s="26"/>
    </row>
    <row r="1283" ht="15.75" hidden="1" customHeight="1">
      <c r="A1283" s="31" t="s">
        <v>39</v>
      </c>
      <c r="B1283" s="9" t="s">
        <v>3569</v>
      </c>
      <c r="C1283" s="19" t="s">
        <v>3169</v>
      </c>
      <c r="D1283" s="22" t="s">
        <v>3708</v>
      </c>
      <c r="E1283" s="19" t="s">
        <v>109</v>
      </c>
      <c r="F1283" s="19" t="s">
        <v>3170</v>
      </c>
      <c r="G1283" s="19" t="s">
        <v>57</v>
      </c>
      <c r="H1283" s="22" t="s">
        <v>365</v>
      </c>
      <c r="I1283" s="25" t="s">
        <v>3760</v>
      </c>
      <c r="J1283" s="19" t="s">
        <v>95</v>
      </c>
      <c r="K1283" s="19" t="s">
        <v>52</v>
      </c>
      <c r="L1283" s="22" t="s">
        <v>3761</v>
      </c>
      <c r="M1283" s="26"/>
      <c r="N1283" s="26"/>
      <c r="O1283" s="26"/>
      <c r="P1283" s="26"/>
      <c r="Q1283" s="26"/>
    </row>
    <row r="1284" ht="15.75" hidden="1" customHeight="1">
      <c r="A1284" s="31" t="s">
        <v>39</v>
      </c>
      <c r="B1284" s="9" t="s">
        <v>3569</v>
      </c>
      <c r="C1284" s="19" t="s">
        <v>3762</v>
      </c>
      <c r="D1284" s="22" t="s">
        <v>3763</v>
      </c>
      <c r="E1284" s="19" t="s">
        <v>109</v>
      </c>
      <c r="F1284" s="19" t="s">
        <v>186</v>
      </c>
      <c r="G1284" s="19" t="s">
        <v>57</v>
      </c>
      <c r="H1284" s="22" t="s">
        <v>365</v>
      </c>
      <c r="I1284" s="25" t="s">
        <v>3764</v>
      </c>
      <c r="J1284" s="19"/>
      <c r="K1284" s="19" t="s">
        <v>285</v>
      </c>
      <c r="L1284" s="22" t="s">
        <v>1731</v>
      </c>
      <c r="M1284" s="26"/>
      <c r="N1284" s="26"/>
      <c r="O1284" s="26"/>
      <c r="P1284" s="26"/>
      <c r="Q1284" s="26"/>
    </row>
    <row r="1285" ht="15.75" hidden="1" customHeight="1">
      <c r="A1285" s="31" t="s">
        <v>39</v>
      </c>
      <c r="B1285" s="9" t="s">
        <v>3569</v>
      </c>
      <c r="C1285" s="19" t="s">
        <v>3765</v>
      </c>
      <c r="D1285" s="22" t="s">
        <v>656</v>
      </c>
      <c r="E1285" s="19" t="s">
        <v>109</v>
      </c>
      <c r="F1285" s="19" t="s">
        <v>3349</v>
      </c>
      <c r="G1285" s="19" t="s">
        <v>57</v>
      </c>
      <c r="H1285" s="22" t="s">
        <v>365</v>
      </c>
      <c r="I1285" s="25" t="s">
        <v>3766</v>
      </c>
      <c r="J1285" s="19"/>
      <c r="K1285" s="19" t="s">
        <v>137</v>
      </c>
      <c r="L1285" s="22"/>
      <c r="M1285" s="26"/>
      <c r="N1285" s="26"/>
      <c r="O1285" s="26"/>
      <c r="P1285" s="26"/>
      <c r="Q1285" s="26"/>
    </row>
    <row r="1286" ht="15.75" hidden="1" customHeight="1">
      <c r="A1286" s="31" t="s">
        <v>39</v>
      </c>
      <c r="B1286" s="9" t="s">
        <v>3569</v>
      </c>
      <c r="C1286" s="19" t="s">
        <v>3767</v>
      </c>
      <c r="D1286" s="22" t="s">
        <v>3768</v>
      </c>
      <c r="E1286" s="19" t="s">
        <v>109</v>
      </c>
      <c r="F1286" s="19" t="s">
        <v>3769</v>
      </c>
      <c r="G1286" s="19" t="s">
        <v>57</v>
      </c>
      <c r="H1286" s="22" t="s">
        <v>365</v>
      </c>
      <c r="I1286" s="25" t="s">
        <v>3770</v>
      </c>
      <c r="J1286" s="19"/>
      <c r="K1286" s="19" t="s">
        <v>99</v>
      </c>
      <c r="L1286" s="22" t="s">
        <v>3771</v>
      </c>
      <c r="M1286" s="26"/>
      <c r="N1286" s="26"/>
      <c r="O1286" s="26"/>
      <c r="P1286" s="26"/>
      <c r="Q1286" s="26"/>
    </row>
    <row r="1287" ht="15.75" hidden="1" customHeight="1">
      <c r="A1287" s="31" t="s">
        <v>39</v>
      </c>
      <c r="B1287" s="9" t="s">
        <v>3569</v>
      </c>
      <c r="C1287" s="19" t="s">
        <v>3772</v>
      </c>
      <c r="D1287" s="22" t="s">
        <v>3708</v>
      </c>
      <c r="E1287" s="19" t="s">
        <v>109</v>
      </c>
      <c r="F1287" s="19" t="s">
        <v>1263</v>
      </c>
      <c r="G1287" s="19" t="s">
        <v>57</v>
      </c>
      <c r="H1287" s="22" t="s">
        <v>365</v>
      </c>
      <c r="I1287" s="25" t="s">
        <v>3773</v>
      </c>
      <c r="J1287" s="19" t="s">
        <v>2193</v>
      </c>
      <c r="K1287" s="19" t="s">
        <v>66</v>
      </c>
      <c r="L1287" s="22"/>
      <c r="M1287" s="26"/>
      <c r="N1287" s="26"/>
      <c r="O1287" s="26"/>
      <c r="P1287" s="26"/>
      <c r="Q1287" s="26"/>
    </row>
    <row r="1288" ht="15.75" hidden="1" customHeight="1">
      <c r="A1288" s="31" t="s">
        <v>39</v>
      </c>
      <c r="B1288" s="9" t="s">
        <v>3569</v>
      </c>
      <c r="C1288" s="19" t="s">
        <v>3375</v>
      </c>
      <c r="D1288" s="22" t="s">
        <v>3774</v>
      </c>
      <c r="E1288" s="19" t="s">
        <v>109</v>
      </c>
      <c r="F1288" s="19" t="s">
        <v>1129</v>
      </c>
      <c r="G1288" s="19" t="s">
        <v>57</v>
      </c>
      <c r="H1288" s="22" t="s">
        <v>365</v>
      </c>
      <c r="I1288" s="25" t="s">
        <v>3775</v>
      </c>
      <c r="J1288" s="19" t="s">
        <v>1722</v>
      </c>
      <c r="K1288" s="19" t="s">
        <v>82</v>
      </c>
      <c r="L1288" s="22"/>
      <c r="M1288" s="26"/>
      <c r="N1288" s="26"/>
      <c r="O1288" s="26"/>
      <c r="P1288" s="26"/>
      <c r="Q1288" s="26"/>
    </row>
    <row r="1289" ht="15.75" hidden="1" customHeight="1">
      <c r="A1289" s="31" t="s">
        <v>39</v>
      </c>
      <c r="B1289" s="9" t="s">
        <v>3569</v>
      </c>
      <c r="C1289" s="19" t="s">
        <v>1074</v>
      </c>
      <c r="D1289" s="22" t="s">
        <v>3776</v>
      </c>
      <c r="E1289" s="19" t="s">
        <v>127</v>
      </c>
      <c r="F1289" s="19" t="s">
        <v>2221</v>
      </c>
      <c r="G1289" s="19" t="s">
        <v>57</v>
      </c>
      <c r="H1289" s="24" t="s">
        <v>59</v>
      </c>
      <c r="I1289" s="25" t="s">
        <v>3777</v>
      </c>
      <c r="J1289" s="19"/>
      <c r="K1289" s="19" t="s">
        <v>122</v>
      </c>
      <c r="L1289" s="22" t="s">
        <v>3451</v>
      </c>
      <c r="M1289" s="26"/>
      <c r="N1289" s="26"/>
      <c r="O1289" s="26"/>
      <c r="P1289" s="26"/>
      <c r="Q1289" s="26"/>
    </row>
    <row r="1290" ht="15.75" hidden="1" customHeight="1">
      <c r="A1290" s="31" t="s">
        <v>39</v>
      </c>
      <c r="B1290" s="9" t="s">
        <v>3569</v>
      </c>
      <c r="C1290" s="19" t="s">
        <v>3778</v>
      </c>
      <c r="D1290" s="22" t="s">
        <v>3779</v>
      </c>
      <c r="E1290" s="19" t="s">
        <v>109</v>
      </c>
      <c r="F1290" s="19" t="s">
        <v>3780</v>
      </c>
      <c r="G1290" s="19" t="s">
        <v>57</v>
      </c>
      <c r="H1290" s="22" t="s">
        <v>365</v>
      </c>
      <c r="I1290" s="25" t="s">
        <v>3781</v>
      </c>
      <c r="J1290" s="19" t="s">
        <v>456</v>
      </c>
      <c r="K1290" s="19" t="s">
        <v>66</v>
      </c>
      <c r="L1290" s="22"/>
      <c r="M1290" s="26"/>
      <c r="N1290" s="26"/>
      <c r="O1290" s="26"/>
      <c r="P1290" s="26"/>
      <c r="Q1290" s="26"/>
    </row>
    <row r="1291" ht="15.75" hidden="1" customHeight="1">
      <c r="A1291" s="31" t="s">
        <v>39</v>
      </c>
      <c r="B1291" s="9" t="s">
        <v>3569</v>
      </c>
      <c r="C1291" s="19" t="s">
        <v>3782</v>
      </c>
      <c r="D1291" s="22" t="s">
        <v>1284</v>
      </c>
      <c r="E1291" s="19" t="s">
        <v>109</v>
      </c>
      <c r="F1291" s="19" t="s">
        <v>186</v>
      </c>
      <c r="G1291" s="19" t="s">
        <v>57</v>
      </c>
      <c r="H1291" s="22" t="s">
        <v>365</v>
      </c>
      <c r="I1291" s="25" t="s">
        <v>3783</v>
      </c>
      <c r="J1291" s="19"/>
      <c r="K1291" s="19" t="s">
        <v>288</v>
      </c>
      <c r="L1291" s="22" t="s">
        <v>1731</v>
      </c>
      <c r="M1291" s="26"/>
      <c r="N1291" s="26"/>
      <c r="O1291" s="26"/>
      <c r="P1291" s="26"/>
      <c r="Q1291" s="26"/>
    </row>
    <row r="1292" ht="15.75" hidden="1" customHeight="1">
      <c r="A1292" s="31" t="s">
        <v>39</v>
      </c>
      <c r="B1292" s="9" t="s">
        <v>3569</v>
      </c>
      <c r="C1292" s="19" t="s">
        <v>1259</v>
      </c>
      <c r="D1292" s="22" t="s">
        <v>3784</v>
      </c>
      <c r="E1292" s="19" t="s">
        <v>109</v>
      </c>
      <c r="F1292" s="19" t="s">
        <v>824</v>
      </c>
      <c r="G1292" s="19" t="s">
        <v>57</v>
      </c>
      <c r="H1292" s="22" t="s">
        <v>365</v>
      </c>
      <c r="I1292" s="25" t="s">
        <v>3785</v>
      </c>
      <c r="J1292" s="19"/>
      <c r="K1292" s="19" t="s">
        <v>162</v>
      </c>
      <c r="L1292" s="22"/>
      <c r="M1292" s="26"/>
      <c r="N1292" s="26"/>
      <c r="O1292" s="26"/>
      <c r="P1292" s="26"/>
      <c r="Q1292" s="26"/>
    </row>
    <row r="1293" ht="15.75" hidden="1" customHeight="1">
      <c r="A1293" s="31" t="s">
        <v>39</v>
      </c>
      <c r="B1293" s="9" t="s">
        <v>3786</v>
      </c>
      <c r="C1293" s="19" t="s">
        <v>3787</v>
      </c>
      <c r="D1293" s="22" t="s">
        <v>3788</v>
      </c>
      <c r="E1293" s="19" t="s">
        <v>109</v>
      </c>
      <c r="F1293" s="19" t="s">
        <v>2201</v>
      </c>
      <c r="G1293" s="19" t="s">
        <v>135</v>
      </c>
      <c r="H1293" s="22" t="s">
        <v>155</v>
      </c>
      <c r="I1293" s="25" t="s">
        <v>3789</v>
      </c>
      <c r="J1293" s="19"/>
      <c r="K1293" s="19" t="s">
        <v>74</v>
      </c>
      <c r="L1293" s="22" t="s">
        <v>723</v>
      </c>
      <c r="M1293" s="26"/>
      <c r="N1293" s="26"/>
      <c r="O1293" s="26"/>
      <c r="P1293" s="26"/>
      <c r="Q1293" s="26"/>
    </row>
    <row r="1294" ht="15.75" hidden="1" customHeight="1">
      <c r="A1294" s="31" t="s">
        <v>39</v>
      </c>
      <c r="B1294" s="9" t="s">
        <v>3786</v>
      </c>
      <c r="C1294" s="19" t="s">
        <v>3787</v>
      </c>
      <c r="D1294" s="22" t="s">
        <v>656</v>
      </c>
      <c r="E1294" s="19" t="s">
        <v>109</v>
      </c>
      <c r="F1294" s="19" t="s">
        <v>3790</v>
      </c>
      <c r="G1294" s="19" t="s">
        <v>135</v>
      </c>
      <c r="H1294" s="22" t="s">
        <v>155</v>
      </c>
      <c r="I1294" s="25" t="s">
        <v>3789</v>
      </c>
      <c r="J1294" s="19"/>
      <c r="K1294" s="19" t="s">
        <v>74</v>
      </c>
      <c r="L1294" s="22" t="s">
        <v>723</v>
      </c>
      <c r="M1294" s="26"/>
      <c r="N1294" s="26"/>
      <c r="O1294" s="26"/>
      <c r="P1294" s="26"/>
      <c r="Q1294" s="26"/>
    </row>
    <row r="1295" ht="15.75" hidden="1" customHeight="1">
      <c r="A1295" s="31" t="s">
        <v>39</v>
      </c>
      <c r="B1295" s="9" t="s">
        <v>3786</v>
      </c>
      <c r="C1295" s="19" t="s">
        <v>3791</v>
      </c>
      <c r="D1295" s="22" t="s">
        <v>3792</v>
      </c>
      <c r="E1295" s="19" t="s">
        <v>109</v>
      </c>
      <c r="F1295" s="19" t="s">
        <v>2815</v>
      </c>
      <c r="G1295" s="19" t="s">
        <v>135</v>
      </c>
      <c r="H1295" s="22" t="s">
        <v>155</v>
      </c>
      <c r="I1295" s="25" t="s">
        <v>3793</v>
      </c>
      <c r="J1295" s="19" t="s">
        <v>782</v>
      </c>
      <c r="K1295" s="19" t="s">
        <v>94</v>
      </c>
      <c r="L1295" s="22"/>
      <c r="M1295" s="26"/>
      <c r="N1295" s="26"/>
      <c r="O1295" s="26"/>
      <c r="P1295" s="26"/>
      <c r="Q1295" s="26"/>
    </row>
    <row r="1296" ht="15.75" hidden="1" customHeight="1">
      <c r="A1296" s="31" t="s">
        <v>39</v>
      </c>
      <c r="B1296" s="9" t="s">
        <v>3786</v>
      </c>
      <c r="C1296" s="19" t="s">
        <v>3794</v>
      </c>
      <c r="D1296" s="22" t="s">
        <v>1666</v>
      </c>
      <c r="E1296" s="19" t="s">
        <v>109</v>
      </c>
      <c r="F1296" s="19" t="s">
        <v>55</v>
      </c>
      <c r="G1296" s="19" t="s">
        <v>135</v>
      </c>
      <c r="H1296" s="22" t="s">
        <v>155</v>
      </c>
      <c r="I1296" s="25" t="s">
        <v>3795</v>
      </c>
      <c r="J1296" s="19"/>
      <c r="K1296" s="19" t="s">
        <v>143</v>
      </c>
      <c r="L1296" s="22" t="s">
        <v>1846</v>
      </c>
      <c r="M1296" s="26"/>
      <c r="N1296" s="26"/>
      <c r="O1296" s="26"/>
      <c r="P1296" s="26"/>
      <c r="Q1296" s="26"/>
    </row>
    <row r="1297" ht="15.75" hidden="1" customHeight="1">
      <c r="A1297" s="31" t="s">
        <v>39</v>
      </c>
      <c r="B1297" s="9" t="s">
        <v>3786</v>
      </c>
      <c r="C1297" s="19" t="s">
        <v>3794</v>
      </c>
      <c r="D1297" s="22" t="s">
        <v>656</v>
      </c>
      <c r="E1297" s="19" t="s">
        <v>109</v>
      </c>
      <c r="F1297" s="19" t="s">
        <v>55</v>
      </c>
      <c r="G1297" s="19" t="s">
        <v>135</v>
      </c>
      <c r="H1297" s="22" t="s">
        <v>155</v>
      </c>
      <c r="I1297" s="25" t="s">
        <v>3795</v>
      </c>
      <c r="J1297" s="19"/>
      <c r="K1297" s="19" t="s">
        <v>143</v>
      </c>
      <c r="L1297" s="22" t="s">
        <v>1846</v>
      </c>
      <c r="M1297" s="26"/>
      <c r="N1297" s="26"/>
      <c r="O1297" s="26"/>
      <c r="P1297" s="26"/>
      <c r="Q1297" s="26"/>
    </row>
    <row r="1298" ht="15.75" customHeight="1">
      <c r="A1298" s="31" t="s">
        <v>39</v>
      </c>
      <c r="B1298" s="9" t="s">
        <v>3786</v>
      </c>
      <c r="C1298" s="19" t="s">
        <v>3796</v>
      </c>
      <c r="D1298" s="22" t="s">
        <v>3797</v>
      </c>
      <c r="E1298" s="19" t="s">
        <v>121</v>
      </c>
      <c r="F1298" s="19" t="s">
        <v>1129</v>
      </c>
      <c r="G1298" s="19" t="s">
        <v>90</v>
      </c>
      <c r="H1298" s="22" t="s">
        <v>155</v>
      </c>
      <c r="I1298" s="25" t="s">
        <v>3798</v>
      </c>
      <c r="J1298" s="19" t="s">
        <v>1331</v>
      </c>
      <c r="K1298" s="19" t="s">
        <v>92</v>
      </c>
      <c r="L1298" s="22"/>
      <c r="M1298" s="26"/>
      <c r="N1298" s="26"/>
      <c r="O1298" s="26"/>
      <c r="P1298" s="26"/>
      <c r="Q1298" s="26"/>
    </row>
    <row r="1299" ht="15.75" hidden="1" customHeight="1">
      <c r="A1299" s="31" t="s">
        <v>39</v>
      </c>
      <c r="B1299" s="9" t="s">
        <v>3786</v>
      </c>
      <c r="C1299" s="19" t="s">
        <v>3799</v>
      </c>
      <c r="D1299" s="22" t="s">
        <v>656</v>
      </c>
      <c r="E1299" s="19" t="s">
        <v>109</v>
      </c>
      <c r="F1299" s="19" t="s">
        <v>868</v>
      </c>
      <c r="G1299" s="19" t="s">
        <v>135</v>
      </c>
      <c r="H1299" s="22" t="s">
        <v>155</v>
      </c>
      <c r="I1299" s="25" t="s">
        <v>3800</v>
      </c>
      <c r="J1299" s="19"/>
      <c r="K1299" s="19" t="s">
        <v>78</v>
      </c>
      <c r="L1299" s="22" t="s">
        <v>723</v>
      </c>
      <c r="M1299" s="26"/>
      <c r="N1299" s="26"/>
      <c r="O1299" s="26"/>
      <c r="P1299" s="26"/>
      <c r="Q1299" s="26"/>
    </row>
    <row r="1300" ht="15.75" hidden="1" customHeight="1">
      <c r="A1300" s="31" t="s">
        <v>39</v>
      </c>
      <c r="B1300" s="9" t="s">
        <v>3786</v>
      </c>
      <c r="C1300" s="19" t="s">
        <v>3801</v>
      </c>
      <c r="D1300" s="22" t="s">
        <v>1362</v>
      </c>
      <c r="E1300" s="19" t="s">
        <v>109</v>
      </c>
      <c r="F1300" s="19" t="s">
        <v>241</v>
      </c>
      <c r="G1300" s="19" t="s">
        <v>135</v>
      </c>
      <c r="H1300" s="22" t="s">
        <v>155</v>
      </c>
      <c r="I1300" s="25" t="s">
        <v>3802</v>
      </c>
      <c r="J1300" s="19"/>
      <c r="K1300" s="19" t="s">
        <v>74</v>
      </c>
      <c r="L1300" s="22" t="s">
        <v>723</v>
      </c>
      <c r="M1300" s="26"/>
      <c r="N1300" s="26"/>
      <c r="O1300" s="26"/>
      <c r="P1300" s="26"/>
      <c r="Q1300" s="26"/>
    </row>
    <row r="1301" ht="15.75" hidden="1" customHeight="1">
      <c r="A1301" s="31" t="s">
        <v>39</v>
      </c>
      <c r="B1301" s="9" t="s">
        <v>3786</v>
      </c>
      <c r="C1301" s="19" t="s">
        <v>3207</v>
      </c>
      <c r="D1301" s="22" t="s">
        <v>3803</v>
      </c>
      <c r="E1301" s="19" t="s">
        <v>109</v>
      </c>
      <c r="F1301" s="19" t="s">
        <v>3625</v>
      </c>
      <c r="G1301" s="19" t="s">
        <v>142</v>
      </c>
      <c r="H1301" s="22" t="s">
        <v>155</v>
      </c>
      <c r="I1301" s="25" t="s">
        <v>3804</v>
      </c>
      <c r="J1301" s="19" t="s">
        <v>176</v>
      </c>
      <c r="K1301" s="19" t="s">
        <v>139</v>
      </c>
      <c r="L1301" s="22"/>
      <c r="M1301" s="26"/>
      <c r="N1301" s="26"/>
      <c r="O1301" s="26"/>
      <c r="P1301" s="26"/>
      <c r="Q1301" s="26"/>
    </row>
    <row r="1302" ht="15.75" hidden="1" customHeight="1">
      <c r="A1302" s="31" t="s">
        <v>39</v>
      </c>
      <c r="B1302" s="9" t="s">
        <v>3786</v>
      </c>
      <c r="C1302" s="19" t="s">
        <v>3207</v>
      </c>
      <c r="D1302" s="22" t="s">
        <v>3805</v>
      </c>
      <c r="E1302" s="19" t="s">
        <v>109</v>
      </c>
      <c r="F1302" s="19" t="s">
        <v>3806</v>
      </c>
      <c r="G1302" s="19" t="s">
        <v>142</v>
      </c>
      <c r="H1302" s="22" t="s">
        <v>155</v>
      </c>
      <c r="I1302" s="25" t="s">
        <v>3807</v>
      </c>
      <c r="J1302" s="19" t="s">
        <v>176</v>
      </c>
      <c r="K1302" s="19" t="s">
        <v>139</v>
      </c>
      <c r="L1302" s="22"/>
      <c r="M1302" s="26"/>
      <c r="N1302" s="26"/>
      <c r="O1302" s="26"/>
      <c r="P1302" s="26"/>
      <c r="Q1302" s="26"/>
    </row>
    <row r="1303" ht="15.75" hidden="1" customHeight="1">
      <c r="A1303" s="31" t="s">
        <v>39</v>
      </c>
      <c r="B1303" s="9" t="s">
        <v>3786</v>
      </c>
      <c r="C1303" s="19" t="s">
        <v>3808</v>
      </c>
      <c r="D1303" s="22" t="s">
        <v>3001</v>
      </c>
      <c r="E1303" s="19" t="s">
        <v>109</v>
      </c>
      <c r="F1303" s="19" t="s">
        <v>2162</v>
      </c>
      <c r="G1303" s="19" t="s">
        <v>135</v>
      </c>
      <c r="H1303" s="22" t="s">
        <v>155</v>
      </c>
      <c r="I1303" s="25" t="s">
        <v>3809</v>
      </c>
      <c r="J1303" s="19" t="s">
        <v>3462</v>
      </c>
      <c r="K1303" s="19" t="s">
        <v>94</v>
      </c>
      <c r="L1303" s="22"/>
      <c r="M1303" s="26"/>
      <c r="N1303" s="26"/>
      <c r="O1303" s="26"/>
      <c r="P1303" s="26"/>
      <c r="Q1303" s="26"/>
    </row>
    <row r="1304" ht="15.75" hidden="1" customHeight="1">
      <c r="A1304" s="31" t="s">
        <v>39</v>
      </c>
      <c r="B1304" s="9" t="s">
        <v>3786</v>
      </c>
      <c r="C1304" s="19" t="s">
        <v>3810</v>
      </c>
      <c r="D1304" s="22" t="s">
        <v>3811</v>
      </c>
      <c r="E1304" s="19" t="s">
        <v>109</v>
      </c>
      <c r="F1304" s="19" t="s">
        <v>241</v>
      </c>
      <c r="G1304" s="19" t="s">
        <v>135</v>
      </c>
      <c r="H1304" s="22" t="s">
        <v>155</v>
      </c>
      <c r="I1304" s="25" t="s">
        <v>3812</v>
      </c>
      <c r="J1304" s="19"/>
      <c r="K1304" s="19" t="s">
        <v>99</v>
      </c>
      <c r="L1304" s="22" t="s">
        <v>1596</v>
      </c>
      <c r="M1304" s="26"/>
      <c r="N1304" s="26"/>
      <c r="O1304" s="26"/>
      <c r="P1304" s="26"/>
      <c r="Q1304" s="26"/>
    </row>
    <row r="1305" ht="15.75" hidden="1" customHeight="1">
      <c r="A1305" s="31" t="s">
        <v>39</v>
      </c>
      <c r="B1305" s="9" t="s">
        <v>3786</v>
      </c>
      <c r="C1305" s="19" t="s">
        <v>3810</v>
      </c>
      <c r="D1305" s="22" t="s">
        <v>656</v>
      </c>
      <c r="E1305" s="19" t="s">
        <v>109</v>
      </c>
      <c r="F1305" s="19" t="s">
        <v>241</v>
      </c>
      <c r="G1305" s="19" t="s">
        <v>135</v>
      </c>
      <c r="H1305" s="22" t="s">
        <v>155</v>
      </c>
      <c r="I1305" s="25" t="s">
        <v>3813</v>
      </c>
      <c r="J1305" s="19"/>
      <c r="K1305" s="19" t="s">
        <v>74</v>
      </c>
      <c r="L1305" s="22" t="s">
        <v>723</v>
      </c>
      <c r="M1305" s="26"/>
      <c r="N1305" s="26"/>
      <c r="O1305" s="26"/>
      <c r="P1305" s="26"/>
      <c r="Q1305" s="26"/>
    </row>
    <row r="1306" ht="15.75" hidden="1" customHeight="1">
      <c r="A1306" s="31" t="s">
        <v>39</v>
      </c>
      <c r="B1306" s="9" t="s">
        <v>3786</v>
      </c>
      <c r="C1306" s="19" t="s">
        <v>3810</v>
      </c>
      <c r="D1306" s="22" t="s">
        <v>1362</v>
      </c>
      <c r="E1306" s="19" t="s">
        <v>109</v>
      </c>
      <c r="F1306" s="19" t="s">
        <v>241</v>
      </c>
      <c r="G1306" s="19" t="s">
        <v>135</v>
      </c>
      <c r="H1306" s="22" t="s">
        <v>155</v>
      </c>
      <c r="I1306" s="25" t="s">
        <v>3813</v>
      </c>
      <c r="J1306" s="19"/>
      <c r="K1306" s="19" t="s">
        <v>143</v>
      </c>
      <c r="L1306" s="22" t="s">
        <v>1596</v>
      </c>
      <c r="M1306" s="26"/>
      <c r="N1306" s="26"/>
      <c r="O1306" s="26"/>
      <c r="P1306" s="26"/>
      <c r="Q1306" s="26"/>
    </row>
    <row r="1307" ht="15.75" hidden="1" customHeight="1">
      <c r="A1307" s="31" t="s">
        <v>39</v>
      </c>
      <c r="B1307" s="9" t="s">
        <v>3786</v>
      </c>
      <c r="C1307" s="19" t="s">
        <v>3219</v>
      </c>
      <c r="D1307" s="22" t="s">
        <v>1362</v>
      </c>
      <c r="E1307" s="19" t="s">
        <v>109</v>
      </c>
      <c r="F1307" s="19" t="s">
        <v>631</v>
      </c>
      <c r="G1307" s="19" t="s">
        <v>135</v>
      </c>
      <c r="H1307" s="22" t="s">
        <v>155</v>
      </c>
      <c r="I1307" s="25" t="s">
        <v>3220</v>
      </c>
      <c r="J1307" s="19" t="s">
        <v>558</v>
      </c>
      <c r="K1307" s="19" t="s">
        <v>94</v>
      </c>
      <c r="L1307" s="22"/>
      <c r="M1307" s="26"/>
      <c r="N1307" s="26"/>
      <c r="O1307" s="26"/>
      <c r="P1307" s="26"/>
      <c r="Q1307" s="26"/>
    </row>
    <row r="1308" ht="15.75" hidden="1" customHeight="1">
      <c r="A1308" s="31" t="s">
        <v>39</v>
      </c>
      <c r="B1308" s="9" t="s">
        <v>3786</v>
      </c>
      <c r="C1308" s="19" t="s">
        <v>3814</v>
      </c>
      <c r="D1308" s="22" t="s">
        <v>3815</v>
      </c>
      <c r="E1308" s="19" t="s">
        <v>109</v>
      </c>
      <c r="F1308" s="19" t="s">
        <v>3780</v>
      </c>
      <c r="G1308" s="19" t="s">
        <v>135</v>
      </c>
      <c r="H1308" s="22" t="s">
        <v>155</v>
      </c>
      <c r="I1308" s="25" t="s">
        <v>3816</v>
      </c>
      <c r="J1308" s="19"/>
      <c r="K1308" s="19" t="s">
        <v>13</v>
      </c>
      <c r="L1308" s="22" t="s">
        <v>890</v>
      </c>
      <c r="M1308" s="26"/>
      <c r="N1308" s="26"/>
      <c r="O1308" s="26"/>
      <c r="P1308" s="26"/>
      <c r="Q1308" s="26"/>
    </row>
    <row r="1309" ht="15.75" hidden="1" customHeight="1">
      <c r="A1309" s="31" t="s">
        <v>39</v>
      </c>
      <c r="B1309" s="9" t="s">
        <v>3786</v>
      </c>
      <c r="C1309" s="19" t="s">
        <v>3817</v>
      </c>
      <c r="D1309" s="22" t="s">
        <v>3818</v>
      </c>
      <c r="E1309" s="19" t="s">
        <v>109</v>
      </c>
      <c r="F1309" s="19" t="s">
        <v>2221</v>
      </c>
      <c r="G1309" s="19" t="s">
        <v>135</v>
      </c>
      <c r="H1309" s="22" t="s">
        <v>155</v>
      </c>
      <c r="I1309" s="25" t="s">
        <v>3819</v>
      </c>
      <c r="J1309" s="19"/>
      <c r="K1309" s="19" t="s">
        <v>74</v>
      </c>
      <c r="L1309" s="22" t="s">
        <v>723</v>
      </c>
      <c r="M1309" s="26"/>
      <c r="N1309" s="26"/>
      <c r="O1309" s="26"/>
      <c r="P1309" s="26"/>
      <c r="Q1309" s="26"/>
    </row>
    <row r="1310" ht="15.75" hidden="1" customHeight="1">
      <c r="A1310" s="31" t="s">
        <v>39</v>
      </c>
      <c r="B1310" s="9" t="s">
        <v>3786</v>
      </c>
      <c r="C1310" s="19" t="s">
        <v>3820</v>
      </c>
      <c r="D1310" s="22" t="s">
        <v>1362</v>
      </c>
      <c r="E1310" s="19" t="s">
        <v>109</v>
      </c>
      <c r="F1310" s="19" t="s">
        <v>1291</v>
      </c>
      <c r="G1310" s="19" t="s">
        <v>135</v>
      </c>
      <c r="H1310" s="22" t="s">
        <v>155</v>
      </c>
      <c r="I1310" s="25" t="s">
        <v>3821</v>
      </c>
      <c r="J1310" s="19" t="s">
        <v>561</v>
      </c>
      <c r="K1310" s="19" t="s">
        <v>94</v>
      </c>
      <c r="L1310" s="22"/>
      <c r="M1310" s="26"/>
      <c r="N1310" s="26"/>
      <c r="O1310" s="26"/>
      <c r="P1310" s="26"/>
      <c r="Q1310" s="26"/>
    </row>
    <row r="1311" ht="15.75" customHeight="1">
      <c r="A1311" s="31" t="s">
        <v>39</v>
      </c>
      <c r="B1311" s="9" t="s">
        <v>3786</v>
      </c>
      <c r="C1311" s="19" t="s">
        <v>3822</v>
      </c>
      <c r="D1311" s="22" t="s">
        <v>3823</v>
      </c>
      <c r="E1311" s="19" t="s">
        <v>127</v>
      </c>
      <c r="F1311" s="19" t="s">
        <v>3824</v>
      </c>
      <c r="G1311" s="19" t="s">
        <v>90</v>
      </c>
      <c r="H1311" s="22" t="s">
        <v>155</v>
      </c>
      <c r="I1311" s="25" t="s">
        <v>3825</v>
      </c>
      <c r="J1311" s="19"/>
      <c r="K1311" s="19" t="s">
        <v>100</v>
      </c>
      <c r="L1311" s="22"/>
      <c r="M1311" s="26"/>
      <c r="N1311" s="26"/>
      <c r="O1311" s="26"/>
      <c r="P1311" s="26"/>
      <c r="Q1311" s="26"/>
    </row>
    <row r="1312" ht="15.75" customHeight="1">
      <c r="A1312" s="31" t="s">
        <v>39</v>
      </c>
      <c r="B1312" s="9" t="s">
        <v>3786</v>
      </c>
      <c r="C1312" s="19" t="s">
        <v>3822</v>
      </c>
      <c r="D1312" s="22" t="s">
        <v>3826</v>
      </c>
      <c r="E1312" s="19" t="s">
        <v>127</v>
      </c>
      <c r="F1312" s="19" t="s">
        <v>521</v>
      </c>
      <c r="G1312" s="19" t="s">
        <v>90</v>
      </c>
      <c r="H1312" s="22" t="s">
        <v>155</v>
      </c>
      <c r="I1312" s="25" t="s">
        <v>3825</v>
      </c>
      <c r="J1312" s="19"/>
      <c r="K1312" s="19" t="s">
        <v>100</v>
      </c>
      <c r="L1312" s="22"/>
      <c r="M1312" s="26"/>
      <c r="N1312" s="26"/>
      <c r="O1312" s="26"/>
      <c r="P1312" s="26"/>
      <c r="Q1312" s="26"/>
    </row>
    <row r="1313" ht="15.75" hidden="1" customHeight="1">
      <c r="A1313" s="31" t="s">
        <v>39</v>
      </c>
      <c r="B1313" s="9" t="s">
        <v>3786</v>
      </c>
      <c r="C1313" s="19" t="s">
        <v>2906</v>
      </c>
      <c r="D1313" s="22" t="s">
        <v>3827</v>
      </c>
      <c r="E1313" s="19" t="s">
        <v>109</v>
      </c>
      <c r="F1313" s="19" t="s">
        <v>2908</v>
      </c>
      <c r="G1313" s="19" t="s">
        <v>142</v>
      </c>
      <c r="H1313" s="22" t="s">
        <v>155</v>
      </c>
      <c r="I1313" s="25" t="s">
        <v>3828</v>
      </c>
      <c r="J1313" s="19" t="s">
        <v>1349</v>
      </c>
      <c r="K1313" s="19" t="s">
        <v>94</v>
      </c>
      <c r="L1313" s="22" t="s">
        <v>3829</v>
      </c>
      <c r="M1313" s="26"/>
      <c r="N1313" s="26"/>
      <c r="O1313" s="26"/>
      <c r="P1313" s="26"/>
      <c r="Q1313" s="26"/>
    </row>
    <row r="1314" ht="15.75" hidden="1" customHeight="1">
      <c r="A1314" s="31" t="s">
        <v>39</v>
      </c>
      <c r="B1314" s="9" t="s">
        <v>3786</v>
      </c>
      <c r="C1314" s="19" t="s">
        <v>2490</v>
      </c>
      <c r="D1314" s="22" t="s">
        <v>3830</v>
      </c>
      <c r="E1314" s="19" t="s">
        <v>109</v>
      </c>
      <c r="F1314" s="19" t="s">
        <v>3831</v>
      </c>
      <c r="G1314" s="19" t="s">
        <v>135</v>
      </c>
      <c r="H1314" s="22" t="s">
        <v>155</v>
      </c>
      <c r="I1314" s="25" t="s">
        <v>3832</v>
      </c>
      <c r="J1314" s="19"/>
      <c r="K1314" s="19" t="s">
        <v>99</v>
      </c>
      <c r="L1314" s="22" t="s">
        <v>1596</v>
      </c>
      <c r="M1314" s="26"/>
      <c r="N1314" s="26"/>
      <c r="O1314" s="26"/>
      <c r="P1314" s="26"/>
      <c r="Q1314" s="26"/>
    </row>
    <row r="1315" ht="15.75" hidden="1" customHeight="1">
      <c r="A1315" s="31" t="s">
        <v>39</v>
      </c>
      <c r="B1315" s="9" t="s">
        <v>3786</v>
      </c>
      <c r="C1315" s="19" t="s">
        <v>2490</v>
      </c>
      <c r="D1315" s="22" t="s">
        <v>3833</v>
      </c>
      <c r="E1315" s="19" t="s">
        <v>109</v>
      </c>
      <c r="F1315" s="19" t="s">
        <v>3831</v>
      </c>
      <c r="G1315" s="19" t="s">
        <v>135</v>
      </c>
      <c r="H1315" s="22" t="s">
        <v>155</v>
      </c>
      <c r="I1315" s="25" t="s">
        <v>3834</v>
      </c>
      <c r="J1315" s="19"/>
      <c r="K1315" s="19" t="s">
        <v>99</v>
      </c>
      <c r="L1315" s="22" t="s">
        <v>1846</v>
      </c>
      <c r="M1315" s="26"/>
      <c r="N1315" s="26"/>
      <c r="O1315" s="26"/>
      <c r="P1315" s="26"/>
      <c r="Q1315" s="26"/>
    </row>
    <row r="1316" ht="15.75" hidden="1" customHeight="1">
      <c r="A1316" s="31" t="s">
        <v>39</v>
      </c>
      <c r="B1316" s="9" t="s">
        <v>3786</v>
      </c>
      <c r="C1316" s="19" t="s">
        <v>3601</v>
      </c>
      <c r="D1316" s="22" t="s">
        <v>656</v>
      </c>
      <c r="E1316" s="19" t="s">
        <v>109</v>
      </c>
      <c r="F1316" s="19" t="s">
        <v>89</v>
      </c>
      <c r="G1316" s="19" t="s">
        <v>135</v>
      </c>
      <c r="H1316" s="22" t="s">
        <v>155</v>
      </c>
      <c r="I1316" s="25" t="s">
        <v>3603</v>
      </c>
      <c r="J1316" s="19"/>
      <c r="K1316" s="19" t="s">
        <v>13</v>
      </c>
      <c r="L1316" s="22" t="s">
        <v>890</v>
      </c>
      <c r="M1316" s="26"/>
      <c r="N1316" s="26"/>
      <c r="O1316" s="26"/>
      <c r="P1316" s="26"/>
      <c r="Q1316" s="26"/>
    </row>
    <row r="1317" ht="15.75" customHeight="1">
      <c r="A1317" s="31" t="s">
        <v>39</v>
      </c>
      <c r="B1317" s="9" t="s">
        <v>3786</v>
      </c>
      <c r="C1317" s="19" t="s">
        <v>3835</v>
      </c>
      <c r="D1317" s="22" t="s">
        <v>3836</v>
      </c>
      <c r="E1317" s="19" t="s">
        <v>127</v>
      </c>
      <c r="F1317" s="19" t="s">
        <v>3837</v>
      </c>
      <c r="G1317" s="19" t="s">
        <v>90</v>
      </c>
      <c r="H1317" s="22" t="s">
        <v>155</v>
      </c>
      <c r="I1317" s="25" t="s">
        <v>3838</v>
      </c>
      <c r="J1317" s="19"/>
      <c r="K1317" s="19" t="s">
        <v>100</v>
      </c>
      <c r="L1317" s="22" t="s">
        <v>2028</v>
      </c>
      <c r="M1317" s="26"/>
      <c r="N1317" s="26"/>
      <c r="O1317" s="26"/>
      <c r="P1317" s="26"/>
      <c r="Q1317" s="26"/>
    </row>
    <row r="1318" ht="15.75" hidden="1" customHeight="1">
      <c r="A1318" s="31" t="s">
        <v>39</v>
      </c>
      <c r="B1318" s="9" t="s">
        <v>3786</v>
      </c>
      <c r="C1318" s="19" t="s">
        <v>3135</v>
      </c>
      <c r="D1318" s="22" t="s">
        <v>656</v>
      </c>
      <c r="E1318" s="19" t="s">
        <v>109</v>
      </c>
      <c r="F1318" s="19" t="s">
        <v>1129</v>
      </c>
      <c r="G1318" s="19" t="s">
        <v>135</v>
      </c>
      <c r="H1318" s="22" t="s">
        <v>155</v>
      </c>
      <c r="I1318" s="25" t="s">
        <v>3839</v>
      </c>
      <c r="J1318" s="19" t="s">
        <v>3462</v>
      </c>
      <c r="K1318" s="19" t="s">
        <v>94</v>
      </c>
      <c r="L1318" s="22"/>
      <c r="M1318" s="26"/>
      <c r="N1318" s="26"/>
      <c r="O1318" s="26"/>
      <c r="P1318" s="26"/>
      <c r="Q1318" s="26"/>
    </row>
    <row r="1319" ht="15.75" hidden="1" customHeight="1">
      <c r="A1319" s="31" t="s">
        <v>39</v>
      </c>
      <c r="B1319" s="9" t="s">
        <v>3786</v>
      </c>
      <c r="C1319" s="19" t="s">
        <v>3224</v>
      </c>
      <c r="D1319" s="22" t="s">
        <v>3840</v>
      </c>
      <c r="E1319" s="19" t="s">
        <v>109</v>
      </c>
      <c r="F1319" s="19" t="s">
        <v>2201</v>
      </c>
      <c r="G1319" s="19" t="s">
        <v>135</v>
      </c>
      <c r="H1319" s="22" t="s">
        <v>155</v>
      </c>
      <c r="I1319" s="25" t="s">
        <v>3841</v>
      </c>
      <c r="J1319" s="19"/>
      <c r="K1319" s="19" t="s">
        <v>99</v>
      </c>
      <c r="L1319" s="22" t="s">
        <v>1846</v>
      </c>
      <c r="M1319" s="26"/>
      <c r="N1319" s="26"/>
      <c r="O1319" s="26"/>
      <c r="P1319" s="26"/>
      <c r="Q1319" s="26"/>
    </row>
    <row r="1320" ht="15.75" hidden="1" customHeight="1">
      <c r="A1320" s="31" t="s">
        <v>39</v>
      </c>
      <c r="B1320" s="9" t="s">
        <v>3786</v>
      </c>
      <c r="C1320" s="19" t="s">
        <v>3224</v>
      </c>
      <c r="D1320" s="22" t="s">
        <v>3842</v>
      </c>
      <c r="E1320" s="19" t="s">
        <v>109</v>
      </c>
      <c r="F1320" s="19" t="s">
        <v>2201</v>
      </c>
      <c r="G1320" s="19" t="s">
        <v>135</v>
      </c>
      <c r="H1320" s="22" t="s">
        <v>155</v>
      </c>
      <c r="I1320" s="25" t="s">
        <v>3841</v>
      </c>
      <c r="J1320" s="19"/>
      <c r="K1320" s="19" t="s">
        <v>99</v>
      </c>
      <c r="L1320" s="22" t="s">
        <v>1846</v>
      </c>
      <c r="M1320" s="26"/>
      <c r="N1320" s="26"/>
      <c r="O1320" s="26"/>
      <c r="P1320" s="26"/>
      <c r="Q1320" s="26"/>
    </row>
    <row r="1321" ht="15.75" hidden="1" customHeight="1">
      <c r="A1321" s="31" t="s">
        <v>39</v>
      </c>
      <c r="B1321" s="9" t="s">
        <v>3786</v>
      </c>
      <c r="C1321" s="19" t="s">
        <v>3224</v>
      </c>
      <c r="D1321" s="22" t="s">
        <v>1362</v>
      </c>
      <c r="E1321" s="19" t="s">
        <v>109</v>
      </c>
      <c r="F1321" s="19" t="s">
        <v>2201</v>
      </c>
      <c r="G1321" s="19" t="s">
        <v>135</v>
      </c>
      <c r="H1321" s="22" t="s">
        <v>155</v>
      </c>
      <c r="I1321" s="25" t="s">
        <v>3841</v>
      </c>
      <c r="J1321" s="19"/>
      <c r="K1321" s="19" t="s">
        <v>13</v>
      </c>
      <c r="L1321" s="22" t="s">
        <v>890</v>
      </c>
      <c r="M1321" s="26"/>
      <c r="N1321" s="26"/>
      <c r="O1321" s="26"/>
      <c r="P1321" s="26"/>
      <c r="Q1321" s="26"/>
    </row>
    <row r="1322" ht="15.75" hidden="1" customHeight="1">
      <c r="A1322" s="31" t="s">
        <v>39</v>
      </c>
      <c r="B1322" s="9" t="s">
        <v>3786</v>
      </c>
      <c r="C1322" s="19" t="s">
        <v>3224</v>
      </c>
      <c r="D1322" s="22" t="s">
        <v>3843</v>
      </c>
      <c r="E1322" s="19" t="s">
        <v>109</v>
      </c>
      <c r="F1322" s="19" t="s">
        <v>2201</v>
      </c>
      <c r="G1322" s="19" t="s">
        <v>135</v>
      </c>
      <c r="H1322" s="22" t="s">
        <v>155</v>
      </c>
      <c r="I1322" s="25" t="s">
        <v>3841</v>
      </c>
      <c r="J1322" s="19" t="s">
        <v>456</v>
      </c>
      <c r="K1322" s="19" t="s">
        <v>99</v>
      </c>
      <c r="L1322" s="22" t="s">
        <v>3385</v>
      </c>
      <c r="M1322" s="26"/>
      <c r="N1322" s="26"/>
      <c r="O1322" s="26"/>
      <c r="P1322" s="26"/>
      <c r="Q1322" s="26"/>
    </row>
    <row r="1323" ht="15.75" hidden="1" customHeight="1">
      <c r="A1323" s="31" t="s">
        <v>39</v>
      </c>
      <c r="B1323" s="9" t="s">
        <v>3786</v>
      </c>
      <c r="C1323" s="19" t="s">
        <v>3844</v>
      </c>
      <c r="D1323" s="22" t="s">
        <v>3845</v>
      </c>
      <c r="E1323" s="19" t="s">
        <v>109</v>
      </c>
      <c r="F1323" s="19" t="s">
        <v>3019</v>
      </c>
      <c r="G1323" s="19" t="s">
        <v>135</v>
      </c>
      <c r="H1323" s="22" t="s">
        <v>155</v>
      </c>
      <c r="I1323" s="25" t="s">
        <v>3846</v>
      </c>
      <c r="J1323" s="19" t="s">
        <v>456</v>
      </c>
      <c r="K1323" s="19" t="s">
        <v>78</v>
      </c>
      <c r="L1323" s="22" t="s">
        <v>723</v>
      </c>
      <c r="M1323" s="26"/>
      <c r="N1323" s="26"/>
      <c r="O1323" s="26"/>
      <c r="P1323" s="26"/>
      <c r="Q1323" s="26"/>
    </row>
    <row r="1324" ht="15.75" hidden="1" customHeight="1">
      <c r="A1324" s="31" t="s">
        <v>39</v>
      </c>
      <c r="B1324" s="9" t="s">
        <v>3786</v>
      </c>
      <c r="C1324" s="19" t="s">
        <v>3847</v>
      </c>
      <c r="D1324" s="22" t="s">
        <v>3848</v>
      </c>
      <c r="E1324" s="19" t="s">
        <v>109</v>
      </c>
      <c r="F1324" s="19" t="s">
        <v>3849</v>
      </c>
      <c r="G1324" s="19" t="s">
        <v>135</v>
      </c>
      <c r="H1324" s="22" t="s">
        <v>155</v>
      </c>
      <c r="I1324" s="25" t="s">
        <v>3850</v>
      </c>
      <c r="J1324" s="19" t="s">
        <v>140</v>
      </c>
      <c r="K1324" s="19" t="s">
        <v>13</v>
      </c>
      <c r="L1324" s="22" t="s">
        <v>698</v>
      </c>
      <c r="M1324" s="26"/>
      <c r="N1324" s="26"/>
      <c r="O1324" s="26"/>
      <c r="P1324" s="26"/>
      <c r="Q1324" s="26"/>
    </row>
    <row r="1325" ht="15.75" customHeight="1">
      <c r="A1325" s="31" t="s">
        <v>39</v>
      </c>
      <c r="B1325" s="9" t="s">
        <v>3786</v>
      </c>
      <c r="C1325" s="19" t="s">
        <v>3851</v>
      </c>
      <c r="D1325" s="22" t="s">
        <v>3852</v>
      </c>
      <c r="E1325" s="19" t="s">
        <v>127</v>
      </c>
      <c r="F1325" s="19" t="s">
        <v>135</v>
      </c>
      <c r="G1325" s="19" t="s">
        <v>90</v>
      </c>
      <c r="H1325" s="22" t="s">
        <v>155</v>
      </c>
      <c r="I1325" s="25" t="s">
        <v>3853</v>
      </c>
      <c r="J1325" s="19"/>
      <c r="K1325" s="19" t="s">
        <v>100</v>
      </c>
      <c r="L1325" s="22" t="s">
        <v>2440</v>
      </c>
      <c r="M1325" s="26"/>
      <c r="N1325" s="26"/>
      <c r="O1325" s="26"/>
      <c r="P1325" s="26"/>
      <c r="Q1325" s="26"/>
    </row>
    <row r="1326" ht="15.75" hidden="1" customHeight="1">
      <c r="A1326" s="31" t="s">
        <v>39</v>
      </c>
      <c r="B1326" s="9" t="s">
        <v>3786</v>
      </c>
      <c r="C1326" s="19" t="s">
        <v>3854</v>
      </c>
      <c r="D1326" s="22" t="s">
        <v>3124</v>
      </c>
      <c r="E1326" s="19" t="s">
        <v>109</v>
      </c>
      <c r="F1326" s="19" t="s">
        <v>3019</v>
      </c>
      <c r="G1326" s="19" t="s">
        <v>135</v>
      </c>
      <c r="H1326" s="22" t="s">
        <v>155</v>
      </c>
      <c r="I1326" s="25" t="s">
        <v>3855</v>
      </c>
      <c r="J1326" s="19" t="s">
        <v>319</v>
      </c>
      <c r="K1326" s="19" t="s">
        <v>78</v>
      </c>
      <c r="L1326" s="22" t="s">
        <v>723</v>
      </c>
      <c r="M1326" s="26"/>
      <c r="N1326" s="26"/>
      <c r="O1326" s="26"/>
      <c r="P1326" s="26"/>
      <c r="Q1326" s="26"/>
    </row>
    <row r="1327" ht="15.75" hidden="1" customHeight="1">
      <c r="A1327" s="31" t="s">
        <v>39</v>
      </c>
      <c r="B1327" s="9" t="s">
        <v>3786</v>
      </c>
      <c r="C1327" s="19" t="s">
        <v>3856</v>
      </c>
      <c r="D1327" s="22" t="s">
        <v>1350</v>
      </c>
      <c r="E1327" s="19" t="s">
        <v>109</v>
      </c>
      <c r="F1327" s="19" t="s">
        <v>241</v>
      </c>
      <c r="G1327" s="19" t="s">
        <v>135</v>
      </c>
      <c r="H1327" s="22" t="s">
        <v>155</v>
      </c>
      <c r="I1327" s="25" t="s">
        <v>3857</v>
      </c>
      <c r="J1327" s="19"/>
      <c r="K1327" s="19" t="s">
        <v>74</v>
      </c>
      <c r="L1327" s="22" t="s">
        <v>723</v>
      </c>
      <c r="M1327" s="26"/>
      <c r="N1327" s="26"/>
      <c r="O1327" s="26"/>
      <c r="P1327" s="26"/>
      <c r="Q1327" s="26"/>
    </row>
    <row r="1328" ht="15.75" hidden="1" customHeight="1">
      <c r="A1328" s="31" t="s">
        <v>39</v>
      </c>
      <c r="B1328" s="9" t="s">
        <v>3786</v>
      </c>
      <c r="C1328" s="19" t="s">
        <v>3858</v>
      </c>
      <c r="D1328" s="22" t="s">
        <v>1362</v>
      </c>
      <c r="E1328" s="19" t="s">
        <v>109</v>
      </c>
      <c r="F1328" s="19" t="s">
        <v>241</v>
      </c>
      <c r="G1328" s="19" t="s">
        <v>135</v>
      </c>
      <c r="H1328" s="22" t="s">
        <v>155</v>
      </c>
      <c r="I1328" s="25" t="s">
        <v>3859</v>
      </c>
      <c r="J1328" s="19"/>
      <c r="K1328" s="19" t="s">
        <v>74</v>
      </c>
      <c r="L1328" s="22" t="s">
        <v>723</v>
      </c>
      <c r="M1328" s="26"/>
      <c r="N1328" s="26"/>
      <c r="O1328" s="26"/>
      <c r="P1328" s="26"/>
      <c r="Q1328" s="26"/>
    </row>
    <row r="1329" ht="15.75" hidden="1" customHeight="1">
      <c r="A1329" s="31" t="s">
        <v>39</v>
      </c>
      <c r="B1329" s="9" t="s">
        <v>3786</v>
      </c>
      <c r="C1329" s="19" t="s">
        <v>3860</v>
      </c>
      <c r="D1329" s="22" t="s">
        <v>3861</v>
      </c>
      <c r="E1329" s="19" t="s">
        <v>109</v>
      </c>
      <c r="F1329" s="19" t="s">
        <v>2126</v>
      </c>
      <c r="G1329" s="19" t="s">
        <v>135</v>
      </c>
      <c r="H1329" s="22" t="s">
        <v>155</v>
      </c>
      <c r="I1329" s="25" t="s">
        <v>3862</v>
      </c>
      <c r="J1329" s="19"/>
      <c r="K1329" s="19" t="s">
        <v>74</v>
      </c>
      <c r="L1329" s="22" t="s">
        <v>723</v>
      </c>
      <c r="M1329" s="26"/>
      <c r="N1329" s="26"/>
      <c r="O1329" s="26"/>
      <c r="P1329" s="26"/>
      <c r="Q1329" s="26"/>
    </row>
    <row r="1330" ht="15.75" hidden="1" customHeight="1">
      <c r="A1330" s="31" t="s">
        <v>39</v>
      </c>
      <c r="B1330" s="9" t="s">
        <v>3786</v>
      </c>
      <c r="C1330" s="19" t="s">
        <v>3863</v>
      </c>
      <c r="D1330" s="22" t="s">
        <v>2015</v>
      </c>
      <c r="E1330" s="19" t="s">
        <v>109</v>
      </c>
      <c r="F1330" s="19" t="s">
        <v>3314</v>
      </c>
      <c r="G1330" s="19" t="s">
        <v>135</v>
      </c>
      <c r="H1330" s="22" t="s">
        <v>155</v>
      </c>
      <c r="I1330" s="25" t="s">
        <v>3864</v>
      </c>
      <c r="J1330" s="19"/>
      <c r="K1330" s="19" t="s">
        <v>74</v>
      </c>
      <c r="L1330" s="22" t="s">
        <v>723</v>
      </c>
      <c r="M1330" s="26"/>
      <c r="N1330" s="26"/>
      <c r="O1330" s="26"/>
      <c r="P1330" s="26"/>
      <c r="Q1330" s="26"/>
    </row>
    <row r="1331" ht="15.75" hidden="1" customHeight="1">
      <c r="A1331" s="31" t="s">
        <v>39</v>
      </c>
      <c r="B1331" s="9" t="s">
        <v>3786</v>
      </c>
      <c r="C1331" s="19" t="s">
        <v>3865</v>
      </c>
      <c r="D1331" s="22" t="s">
        <v>1362</v>
      </c>
      <c r="E1331" s="19" t="s">
        <v>109</v>
      </c>
      <c r="F1331" s="19" t="s">
        <v>2201</v>
      </c>
      <c r="G1331" s="19" t="s">
        <v>135</v>
      </c>
      <c r="H1331" s="22" t="s">
        <v>155</v>
      </c>
      <c r="I1331" s="25" t="s">
        <v>3866</v>
      </c>
      <c r="J1331" s="19"/>
      <c r="K1331" s="19" t="s">
        <v>74</v>
      </c>
      <c r="L1331" s="22" t="s">
        <v>723</v>
      </c>
      <c r="M1331" s="26"/>
      <c r="N1331" s="26"/>
      <c r="O1331" s="26"/>
      <c r="P1331" s="26"/>
      <c r="Q1331" s="26"/>
    </row>
    <row r="1332" ht="15.75" customHeight="1">
      <c r="A1332" s="31" t="s">
        <v>39</v>
      </c>
      <c r="B1332" s="9" t="s">
        <v>3786</v>
      </c>
      <c r="C1332" s="19" t="s">
        <v>1716</v>
      </c>
      <c r="D1332" s="22" t="s">
        <v>3867</v>
      </c>
      <c r="E1332" s="19" t="s">
        <v>121</v>
      </c>
      <c r="F1332" s="19" t="s">
        <v>89</v>
      </c>
      <c r="G1332" s="19" t="s">
        <v>90</v>
      </c>
      <c r="H1332" s="22" t="s">
        <v>155</v>
      </c>
      <c r="I1332" s="25" t="s">
        <v>3868</v>
      </c>
      <c r="J1332" s="19" t="s">
        <v>936</v>
      </c>
      <c r="K1332" s="19" t="s">
        <v>92</v>
      </c>
      <c r="L1332" s="22"/>
      <c r="M1332" s="26"/>
      <c r="N1332" s="26"/>
      <c r="O1332" s="26"/>
      <c r="P1332" s="26"/>
      <c r="Q1332" s="26"/>
    </row>
    <row r="1333" ht="15.75" hidden="1" customHeight="1">
      <c r="A1333" s="31" t="s">
        <v>39</v>
      </c>
      <c r="B1333" s="9" t="s">
        <v>3786</v>
      </c>
      <c r="C1333" s="19" t="s">
        <v>1431</v>
      </c>
      <c r="D1333" s="22" t="s">
        <v>3869</v>
      </c>
      <c r="E1333" s="19" t="s">
        <v>109</v>
      </c>
      <c r="F1333" s="19" t="s">
        <v>1433</v>
      </c>
      <c r="G1333" s="19" t="s">
        <v>135</v>
      </c>
      <c r="H1333" s="22" t="s">
        <v>155</v>
      </c>
      <c r="I1333" s="25" t="s">
        <v>3870</v>
      </c>
      <c r="J1333" s="19" t="s">
        <v>319</v>
      </c>
      <c r="K1333" s="19" t="s">
        <v>13</v>
      </c>
      <c r="L1333" s="22" t="s">
        <v>698</v>
      </c>
      <c r="M1333" s="26"/>
      <c r="N1333" s="26"/>
      <c r="O1333" s="26"/>
      <c r="P1333" s="26"/>
      <c r="Q1333" s="26"/>
    </row>
    <row r="1334" ht="15.75" hidden="1" customHeight="1">
      <c r="A1334" s="31" t="s">
        <v>39</v>
      </c>
      <c r="B1334" s="9" t="s">
        <v>3786</v>
      </c>
      <c r="C1334" s="19" t="s">
        <v>3871</v>
      </c>
      <c r="D1334" s="22" t="s">
        <v>3872</v>
      </c>
      <c r="E1334" s="19" t="s">
        <v>109</v>
      </c>
      <c r="F1334" s="19" t="s">
        <v>868</v>
      </c>
      <c r="G1334" s="19" t="s">
        <v>135</v>
      </c>
      <c r="H1334" s="22" t="s">
        <v>155</v>
      </c>
      <c r="I1334" s="25" t="s">
        <v>3873</v>
      </c>
      <c r="J1334" s="19" t="s">
        <v>140</v>
      </c>
      <c r="K1334" s="19" t="s">
        <v>13</v>
      </c>
      <c r="L1334" s="22" t="s">
        <v>890</v>
      </c>
      <c r="M1334" s="26"/>
      <c r="N1334" s="26"/>
      <c r="O1334" s="26"/>
      <c r="P1334" s="26"/>
      <c r="Q1334" s="26"/>
    </row>
    <row r="1335" ht="15.75" hidden="1" customHeight="1">
      <c r="A1335" s="31" t="s">
        <v>39</v>
      </c>
      <c r="B1335" s="9" t="s">
        <v>3786</v>
      </c>
      <c r="C1335" s="19" t="s">
        <v>3874</v>
      </c>
      <c r="D1335" s="22" t="s">
        <v>3875</v>
      </c>
      <c r="E1335" s="19" t="s">
        <v>109</v>
      </c>
      <c r="F1335" s="19" t="s">
        <v>1104</v>
      </c>
      <c r="G1335" s="19" t="s">
        <v>135</v>
      </c>
      <c r="H1335" s="22" t="s">
        <v>155</v>
      </c>
      <c r="I1335" s="25" t="s">
        <v>3876</v>
      </c>
      <c r="J1335" s="19" t="s">
        <v>140</v>
      </c>
      <c r="K1335" s="19" t="s">
        <v>13</v>
      </c>
      <c r="L1335" s="22" t="s">
        <v>890</v>
      </c>
      <c r="M1335" s="26"/>
      <c r="N1335" s="26"/>
      <c r="O1335" s="26"/>
      <c r="P1335" s="26"/>
      <c r="Q1335" s="26"/>
    </row>
    <row r="1336" ht="15.75" hidden="1" customHeight="1">
      <c r="A1336" s="31" t="s">
        <v>39</v>
      </c>
      <c r="B1336" s="9" t="s">
        <v>3786</v>
      </c>
      <c r="C1336" s="19" t="s">
        <v>3877</v>
      </c>
      <c r="D1336" s="22" t="s">
        <v>3878</v>
      </c>
      <c r="E1336" s="19" t="s">
        <v>109</v>
      </c>
      <c r="F1336" s="19" t="s">
        <v>3879</v>
      </c>
      <c r="G1336" s="19" t="s">
        <v>135</v>
      </c>
      <c r="H1336" s="22" t="s">
        <v>155</v>
      </c>
      <c r="I1336" s="25" t="s">
        <v>3880</v>
      </c>
      <c r="J1336" s="19"/>
      <c r="K1336" s="19" t="s">
        <v>74</v>
      </c>
      <c r="L1336" s="22" t="s">
        <v>723</v>
      </c>
      <c r="M1336" s="26"/>
      <c r="N1336" s="26"/>
      <c r="O1336" s="26"/>
      <c r="P1336" s="26"/>
      <c r="Q1336" s="26"/>
    </row>
    <row r="1337" ht="15.75" hidden="1" customHeight="1">
      <c r="A1337" s="31" t="s">
        <v>39</v>
      </c>
      <c r="B1337" s="9" t="s">
        <v>3786</v>
      </c>
      <c r="C1337" s="19" t="s">
        <v>3881</v>
      </c>
      <c r="D1337" s="22" t="s">
        <v>3882</v>
      </c>
      <c r="E1337" s="19" t="s">
        <v>109</v>
      </c>
      <c r="F1337" s="19" t="s">
        <v>3883</v>
      </c>
      <c r="G1337" s="19" t="s">
        <v>135</v>
      </c>
      <c r="H1337" s="22" t="s">
        <v>155</v>
      </c>
      <c r="I1337" s="25" t="s">
        <v>3884</v>
      </c>
      <c r="J1337" s="19"/>
      <c r="K1337" s="19" t="s">
        <v>13</v>
      </c>
      <c r="L1337" s="22" t="s">
        <v>698</v>
      </c>
      <c r="M1337" s="26"/>
      <c r="N1337" s="26"/>
      <c r="O1337" s="26"/>
      <c r="P1337" s="26"/>
      <c r="Q1337" s="26"/>
    </row>
    <row r="1338" ht="15.75" hidden="1" customHeight="1">
      <c r="A1338" s="31" t="s">
        <v>39</v>
      </c>
      <c r="B1338" s="9" t="s">
        <v>3786</v>
      </c>
      <c r="C1338" s="19" t="s">
        <v>3885</v>
      </c>
      <c r="D1338" s="22" t="s">
        <v>1362</v>
      </c>
      <c r="E1338" s="19" t="s">
        <v>109</v>
      </c>
      <c r="F1338" s="19" t="s">
        <v>2075</v>
      </c>
      <c r="G1338" s="19" t="s">
        <v>135</v>
      </c>
      <c r="H1338" s="22" t="s">
        <v>155</v>
      </c>
      <c r="I1338" s="25" t="s">
        <v>3886</v>
      </c>
      <c r="J1338" s="19"/>
      <c r="K1338" s="19" t="s">
        <v>74</v>
      </c>
      <c r="L1338" s="22" t="s">
        <v>723</v>
      </c>
      <c r="M1338" s="26"/>
      <c r="N1338" s="26"/>
      <c r="O1338" s="26"/>
      <c r="P1338" s="26"/>
      <c r="Q1338" s="26"/>
    </row>
    <row r="1339" ht="15.75" hidden="1" customHeight="1">
      <c r="A1339" s="31" t="s">
        <v>39</v>
      </c>
      <c r="B1339" s="9" t="s">
        <v>3786</v>
      </c>
      <c r="C1339" s="19" t="s">
        <v>3887</v>
      </c>
      <c r="D1339" s="22" t="s">
        <v>3888</v>
      </c>
      <c r="E1339" s="19" t="s">
        <v>109</v>
      </c>
      <c r="F1339" s="19" t="s">
        <v>3889</v>
      </c>
      <c r="G1339" s="19" t="s">
        <v>135</v>
      </c>
      <c r="H1339" s="22" t="s">
        <v>155</v>
      </c>
      <c r="I1339" s="25" t="s">
        <v>3890</v>
      </c>
      <c r="J1339" s="19"/>
      <c r="K1339" s="19" t="s">
        <v>74</v>
      </c>
      <c r="L1339" s="22" t="s">
        <v>723</v>
      </c>
      <c r="M1339" s="26"/>
      <c r="N1339" s="26"/>
      <c r="O1339" s="26"/>
      <c r="P1339" s="26"/>
      <c r="Q1339" s="26"/>
    </row>
    <row r="1340" ht="15.75" hidden="1" customHeight="1">
      <c r="A1340" s="31" t="s">
        <v>39</v>
      </c>
      <c r="B1340" s="9" t="s">
        <v>3786</v>
      </c>
      <c r="C1340" s="19" t="s">
        <v>3891</v>
      </c>
      <c r="D1340" s="22" t="s">
        <v>3892</v>
      </c>
      <c r="E1340" s="19" t="s">
        <v>109</v>
      </c>
      <c r="F1340" s="19" t="s">
        <v>3893</v>
      </c>
      <c r="G1340" s="19" t="s">
        <v>135</v>
      </c>
      <c r="H1340" s="22" t="s">
        <v>155</v>
      </c>
      <c r="I1340" s="25" t="s">
        <v>3894</v>
      </c>
      <c r="J1340" s="19" t="s">
        <v>140</v>
      </c>
      <c r="K1340" s="19" t="s">
        <v>99</v>
      </c>
      <c r="L1340" s="22" t="s">
        <v>3895</v>
      </c>
      <c r="M1340" s="26"/>
      <c r="N1340" s="26"/>
      <c r="O1340" s="26"/>
      <c r="P1340" s="26"/>
      <c r="Q1340" s="26"/>
    </row>
    <row r="1341" ht="15.75" hidden="1" customHeight="1">
      <c r="A1341" s="31" t="s">
        <v>39</v>
      </c>
      <c r="B1341" s="9" t="s">
        <v>3786</v>
      </c>
      <c r="C1341" s="19" t="s">
        <v>3891</v>
      </c>
      <c r="D1341" s="22" t="s">
        <v>3896</v>
      </c>
      <c r="E1341" s="19" t="s">
        <v>109</v>
      </c>
      <c r="F1341" s="19" t="s">
        <v>3897</v>
      </c>
      <c r="G1341" s="19" t="s">
        <v>135</v>
      </c>
      <c r="H1341" s="22" t="s">
        <v>155</v>
      </c>
      <c r="I1341" s="25" t="s">
        <v>3898</v>
      </c>
      <c r="J1341" s="19" t="s">
        <v>140</v>
      </c>
      <c r="K1341" s="19" t="s">
        <v>99</v>
      </c>
      <c r="L1341" s="22" t="s">
        <v>3895</v>
      </c>
      <c r="M1341" s="26"/>
      <c r="N1341" s="26"/>
      <c r="O1341" s="26"/>
      <c r="P1341" s="26"/>
      <c r="Q1341" s="26"/>
    </row>
    <row r="1342" ht="15.75" hidden="1" customHeight="1">
      <c r="A1342" s="31" t="s">
        <v>39</v>
      </c>
      <c r="B1342" s="9" t="s">
        <v>3786</v>
      </c>
      <c r="C1342" s="19" t="s">
        <v>3899</v>
      </c>
      <c r="D1342" s="22" t="s">
        <v>3900</v>
      </c>
      <c r="E1342" s="19" t="s">
        <v>109</v>
      </c>
      <c r="F1342" s="19" t="s">
        <v>3901</v>
      </c>
      <c r="G1342" s="19" t="s">
        <v>135</v>
      </c>
      <c r="H1342" s="22" t="s">
        <v>155</v>
      </c>
      <c r="I1342" s="25" t="s">
        <v>3902</v>
      </c>
      <c r="J1342" s="19"/>
      <c r="K1342" s="19" t="s">
        <v>99</v>
      </c>
      <c r="L1342" s="22" t="s">
        <v>3903</v>
      </c>
      <c r="M1342" s="26"/>
      <c r="N1342" s="26"/>
      <c r="O1342" s="26"/>
      <c r="P1342" s="26"/>
      <c r="Q1342" s="26"/>
    </row>
    <row r="1343" ht="15.75" hidden="1" customHeight="1">
      <c r="A1343" s="31" t="s">
        <v>39</v>
      </c>
      <c r="B1343" s="9" t="s">
        <v>3786</v>
      </c>
      <c r="C1343" s="19" t="s">
        <v>3899</v>
      </c>
      <c r="D1343" s="22" t="s">
        <v>2828</v>
      </c>
      <c r="E1343" s="19" t="s">
        <v>109</v>
      </c>
      <c r="F1343" s="19" t="s">
        <v>3901</v>
      </c>
      <c r="G1343" s="19" t="s">
        <v>135</v>
      </c>
      <c r="H1343" s="22" t="s">
        <v>155</v>
      </c>
      <c r="I1343" s="25" t="s">
        <v>3902</v>
      </c>
      <c r="J1343" s="19"/>
      <c r="K1343" s="19" t="s">
        <v>99</v>
      </c>
      <c r="L1343" s="22" t="s">
        <v>3903</v>
      </c>
      <c r="M1343" s="26"/>
      <c r="N1343" s="26"/>
      <c r="O1343" s="26"/>
      <c r="P1343" s="26"/>
      <c r="Q1343" s="26"/>
    </row>
    <row r="1344" ht="15.75" hidden="1" customHeight="1">
      <c r="A1344" s="31" t="s">
        <v>39</v>
      </c>
      <c r="B1344" s="9" t="s">
        <v>3786</v>
      </c>
      <c r="C1344" s="19" t="s">
        <v>3899</v>
      </c>
      <c r="D1344" s="22" t="s">
        <v>3904</v>
      </c>
      <c r="E1344" s="19" t="s">
        <v>109</v>
      </c>
      <c r="F1344" s="19" t="s">
        <v>3901</v>
      </c>
      <c r="G1344" s="19" t="s">
        <v>135</v>
      </c>
      <c r="H1344" s="22" t="s">
        <v>155</v>
      </c>
      <c r="I1344" s="25" t="s">
        <v>3902</v>
      </c>
      <c r="J1344" s="19"/>
      <c r="K1344" s="19" t="s">
        <v>99</v>
      </c>
      <c r="L1344" s="22" t="s">
        <v>3903</v>
      </c>
      <c r="M1344" s="26"/>
      <c r="N1344" s="26"/>
      <c r="O1344" s="26"/>
      <c r="P1344" s="26"/>
      <c r="Q1344" s="26"/>
    </row>
    <row r="1345" ht="15.75" hidden="1" customHeight="1">
      <c r="A1345" s="31" t="s">
        <v>39</v>
      </c>
      <c r="B1345" s="9" t="s">
        <v>3786</v>
      </c>
      <c r="C1345" s="19" t="s">
        <v>3905</v>
      </c>
      <c r="D1345" s="22" t="s">
        <v>656</v>
      </c>
      <c r="E1345" s="19" t="s">
        <v>109</v>
      </c>
      <c r="F1345" s="19" t="s">
        <v>705</v>
      </c>
      <c r="G1345" s="19" t="s">
        <v>135</v>
      </c>
      <c r="H1345" s="22" t="s">
        <v>155</v>
      </c>
      <c r="I1345" s="25" t="s">
        <v>3906</v>
      </c>
      <c r="J1345" s="19" t="s">
        <v>926</v>
      </c>
      <c r="K1345" s="19" t="s">
        <v>78</v>
      </c>
      <c r="L1345" s="22" t="s">
        <v>723</v>
      </c>
      <c r="M1345" s="26"/>
      <c r="N1345" s="26"/>
      <c r="O1345" s="26"/>
      <c r="P1345" s="26"/>
      <c r="Q1345" s="26"/>
    </row>
    <row r="1346" ht="15.75" hidden="1" customHeight="1">
      <c r="A1346" s="31" t="s">
        <v>39</v>
      </c>
      <c r="B1346" s="9" t="s">
        <v>3786</v>
      </c>
      <c r="C1346" s="19" t="s">
        <v>2420</v>
      </c>
      <c r="D1346" s="22" t="s">
        <v>656</v>
      </c>
      <c r="E1346" s="19" t="s">
        <v>109</v>
      </c>
      <c r="F1346" s="19" t="s">
        <v>1379</v>
      </c>
      <c r="G1346" s="19" t="s">
        <v>135</v>
      </c>
      <c r="H1346" s="22" t="s">
        <v>155</v>
      </c>
      <c r="I1346" s="25" t="s">
        <v>3907</v>
      </c>
      <c r="J1346" s="19"/>
      <c r="K1346" s="19" t="s">
        <v>74</v>
      </c>
      <c r="L1346" s="22" t="s">
        <v>723</v>
      </c>
      <c r="M1346" s="26"/>
      <c r="N1346" s="26"/>
      <c r="O1346" s="26"/>
      <c r="P1346" s="26"/>
      <c r="Q1346" s="26"/>
    </row>
    <row r="1347" ht="15.75" customHeight="1">
      <c r="A1347" s="31" t="s">
        <v>39</v>
      </c>
      <c r="B1347" s="9" t="s">
        <v>3786</v>
      </c>
      <c r="C1347" s="19" t="s">
        <v>1447</v>
      </c>
      <c r="D1347" s="22" t="s">
        <v>2965</v>
      </c>
      <c r="E1347" s="19" t="s">
        <v>121</v>
      </c>
      <c r="F1347" s="19" t="s">
        <v>868</v>
      </c>
      <c r="G1347" s="19" t="s">
        <v>90</v>
      </c>
      <c r="H1347" s="22" t="s">
        <v>155</v>
      </c>
      <c r="I1347" s="25" t="s">
        <v>3908</v>
      </c>
      <c r="J1347" s="19" t="s">
        <v>337</v>
      </c>
      <c r="K1347" s="19" t="s">
        <v>92</v>
      </c>
      <c r="L1347" s="22"/>
      <c r="M1347" s="26"/>
      <c r="N1347" s="26"/>
      <c r="O1347" s="26"/>
      <c r="P1347" s="26"/>
      <c r="Q1347" s="26"/>
    </row>
    <row r="1348" ht="15.75" hidden="1" customHeight="1">
      <c r="A1348" s="31" t="s">
        <v>39</v>
      </c>
      <c r="B1348" s="9" t="s">
        <v>3786</v>
      </c>
      <c r="C1348" s="19" t="s">
        <v>3909</v>
      </c>
      <c r="D1348" s="22" t="s">
        <v>2721</v>
      </c>
      <c r="E1348" s="19" t="s">
        <v>109</v>
      </c>
      <c r="F1348" s="19" t="s">
        <v>868</v>
      </c>
      <c r="G1348" s="19" t="s">
        <v>135</v>
      </c>
      <c r="H1348" s="22" t="s">
        <v>155</v>
      </c>
      <c r="I1348" s="25" t="s">
        <v>3910</v>
      </c>
      <c r="J1348" s="19" t="s">
        <v>1722</v>
      </c>
      <c r="K1348" s="19" t="s">
        <v>78</v>
      </c>
      <c r="L1348" s="22" t="s">
        <v>723</v>
      </c>
      <c r="M1348" s="26"/>
      <c r="N1348" s="26"/>
      <c r="O1348" s="26"/>
      <c r="P1348" s="26"/>
      <c r="Q1348" s="26"/>
    </row>
    <row r="1349" ht="15.75" hidden="1" customHeight="1">
      <c r="A1349" s="31" t="s">
        <v>39</v>
      </c>
      <c r="B1349" s="9" t="s">
        <v>3786</v>
      </c>
      <c r="C1349" s="19" t="s">
        <v>2263</v>
      </c>
      <c r="D1349" s="22" t="s">
        <v>3911</v>
      </c>
      <c r="E1349" s="19" t="s">
        <v>109</v>
      </c>
      <c r="F1349" s="19" t="s">
        <v>705</v>
      </c>
      <c r="G1349" s="19" t="s">
        <v>142</v>
      </c>
      <c r="H1349" s="22" t="s">
        <v>155</v>
      </c>
      <c r="I1349" s="25" t="s">
        <v>3912</v>
      </c>
      <c r="J1349" s="19"/>
      <c r="K1349" s="19" t="s">
        <v>99</v>
      </c>
      <c r="L1349" s="22" t="s">
        <v>3913</v>
      </c>
      <c r="M1349" s="26"/>
      <c r="N1349" s="26"/>
      <c r="O1349" s="26"/>
      <c r="P1349" s="26"/>
      <c r="Q1349" s="26"/>
    </row>
    <row r="1350" ht="15.75" hidden="1" customHeight="1">
      <c r="A1350" s="31" t="s">
        <v>39</v>
      </c>
      <c r="B1350" s="9" t="s">
        <v>3786</v>
      </c>
      <c r="C1350" s="19" t="s">
        <v>803</v>
      </c>
      <c r="D1350" s="22" t="s">
        <v>3914</v>
      </c>
      <c r="E1350" s="19" t="s">
        <v>109</v>
      </c>
      <c r="F1350" s="19" t="s">
        <v>3133</v>
      </c>
      <c r="G1350" s="19" t="s">
        <v>135</v>
      </c>
      <c r="H1350" s="22" t="s">
        <v>155</v>
      </c>
      <c r="I1350" s="25" t="s">
        <v>3915</v>
      </c>
      <c r="J1350" s="19"/>
      <c r="K1350" s="19" t="s">
        <v>13</v>
      </c>
      <c r="L1350" s="22" t="s">
        <v>890</v>
      </c>
      <c r="M1350" s="26"/>
      <c r="N1350" s="26"/>
      <c r="O1350" s="26"/>
      <c r="P1350" s="26"/>
      <c r="Q1350" s="26"/>
    </row>
    <row r="1351" ht="15.75" hidden="1" customHeight="1">
      <c r="A1351" s="31" t="s">
        <v>39</v>
      </c>
      <c r="B1351" s="9" t="s">
        <v>3786</v>
      </c>
      <c r="C1351" s="19" t="s">
        <v>3916</v>
      </c>
      <c r="D1351" s="22" t="s">
        <v>3917</v>
      </c>
      <c r="E1351" s="19" t="s">
        <v>109</v>
      </c>
      <c r="F1351" s="19" t="s">
        <v>89</v>
      </c>
      <c r="G1351" s="19" t="s">
        <v>135</v>
      </c>
      <c r="H1351" s="22" t="s">
        <v>155</v>
      </c>
      <c r="I1351" s="25" t="s">
        <v>3918</v>
      </c>
      <c r="J1351" s="19" t="s">
        <v>456</v>
      </c>
      <c r="K1351" s="19" t="s">
        <v>78</v>
      </c>
      <c r="L1351" s="22" t="s">
        <v>723</v>
      </c>
      <c r="M1351" s="26"/>
      <c r="N1351" s="26"/>
      <c r="O1351" s="26"/>
      <c r="P1351" s="26"/>
      <c r="Q1351" s="26"/>
    </row>
    <row r="1352" ht="15.75" hidden="1" customHeight="1">
      <c r="A1352" s="31" t="s">
        <v>39</v>
      </c>
      <c r="B1352" s="9" t="s">
        <v>3786</v>
      </c>
      <c r="C1352" s="19" t="s">
        <v>3919</v>
      </c>
      <c r="D1352" s="22" t="s">
        <v>3920</v>
      </c>
      <c r="E1352" s="19" t="s">
        <v>109</v>
      </c>
      <c r="F1352" s="19" t="s">
        <v>1129</v>
      </c>
      <c r="G1352" s="19" t="s">
        <v>135</v>
      </c>
      <c r="H1352" s="22" t="s">
        <v>155</v>
      </c>
      <c r="I1352" s="25" t="s">
        <v>3921</v>
      </c>
      <c r="J1352" s="19" t="s">
        <v>3922</v>
      </c>
      <c r="K1352" s="19" t="s">
        <v>94</v>
      </c>
      <c r="L1352" s="22"/>
      <c r="M1352" s="26"/>
      <c r="N1352" s="26"/>
      <c r="O1352" s="26"/>
      <c r="P1352" s="26"/>
      <c r="Q1352" s="26"/>
    </row>
    <row r="1353" ht="15.75" hidden="1" customHeight="1">
      <c r="A1353" s="31" t="s">
        <v>39</v>
      </c>
      <c r="B1353" s="9" t="s">
        <v>3786</v>
      </c>
      <c r="C1353" s="19" t="s">
        <v>3923</v>
      </c>
      <c r="D1353" s="22" t="s">
        <v>3924</v>
      </c>
      <c r="E1353" s="19" t="s">
        <v>109</v>
      </c>
      <c r="F1353" s="19" t="s">
        <v>631</v>
      </c>
      <c r="G1353" s="19" t="s">
        <v>135</v>
      </c>
      <c r="H1353" s="22" t="s">
        <v>155</v>
      </c>
      <c r="I1353" s="25" t="s">
        <v>3925</v>
      </c>
      <c r="J1353" s="19" t="s">
        <v>3744</v>
      </c>
      <c r="K1353" s="19" t="s">
        <v>94</v>
      </c>
      <c r="L1353" s="22" t="s">
        <v>3926</v>
      </c>
      <c r="M1353" s="26"/>
      <c r="N1353" s="26"/>
      <c r="O1353" s="26"/>
      <c r="P1353" s="26"/>
      <c r="Q1353" s="26"/>
    </row>
    <row r="1354" ht="15.75" hidden="1" customHeight="1">
      <c r="A1354" s="31" t="s">
        <v>39</v>
      </c>
      <c r="B1354" s="9" t="s">
        <v>3786</v>
      </c>
      <c r="C1354" s="19" t="s">
        <v>1915</v>
      </c>
      <c r="D1354" s="22" t="s">
        <v>3927</v>
      </c>
      <c r="E1354" s="19" t="s">
        <v>109</v>
      </c>
      <c r="F1354" s="19" t="s">
        <v>241</v>
      </c>
      <c r="G1354" s="19" t="s">
        <v>135</v>
      </c>
      <c r="H1354" s="22" t="s">
        <v>155</v>
      </c>
      <c r="I1354" s="25" t="s">
        <v>3928</v>
      </c>
      <c r="J1354" s="19"/>
      <c r="K1354" s="19" t="s">
        <v>143</v>
      </c>
      <c r="L1354" s="22" t="s">
        <v>3929</v>
      </c>
      <c r="M1354" s="26"/>
      <c r="N1354" s="26"/>
      <c r="O1354" s="26"/>
      <c r="P1354" s="26"/>
      <c r="Q1354" s="26"/>
    </row>
    <row r="1355" ht="15.75" hidden="1" customHeight="1">
      <c r="A1355" s="31" t="s">
        <v>39</v>
      </c>
      <c r="B1355" s="9" t="s">
        <v>3786</v>
      </c>
      <c r="C1355" s="19" t="s">
        <v>1915</v>
      </c>
      <c r="D1355" s="22" t="s">
        <v>3930</v>
      </c>
      <c r="E1355" s="19" t="s">
        <v>109</v>
      </c>
      <c r="F1355" s="19" t="s">
        <v>1033</v>
      </c>
      <c r="G1355" s="19" t="s">
        <v>135</v>
      </c>
      <c r="H1355" s="22" t="s">
        <v>155</v>
      </c>
      <c r="I1355" s="25" t="s">
        <v>3931</v>
      </c>
      <c r="J1355" s="19" t="s">
        <v>1435</v>
      </c>
      <c r="K1355" s="19" t="s">
        <v>78</v>
      </c>
      <c r="L1355" s="22" t="s">
        <v>723</v>
      </c>
      <c r="M1355" s="26"/>
      <c r="N1355" s="26"/>
      <c r="O1355" s="26"/>
      <c r="P1355" s="26"/>
      <c r="Q1355" s="26"/>
    </row>
    <row r="1356" ht="15.75" hidden="1" customHeight="1">
      <c r="A1356" s="31" t="s">
        <v>39</v>
      </c>
      <c r="B1356" s="9" t="s">
        <v>3786</v>
      </c>
      <c r="C1356" s="19" t="s">
        <v>3704</v>
      </c>
      <c r="D1356" s="22" t="s">
        <v>3932</v>
      </c>
      <c r="E1356" s="19" t="s">
        <v>109</v>
      </c>
      <c r="F1356" s="19" t="s">
        <v>560</v>
      </c>
      <c r="G1356" s="19" t="s">
        <v>135</v>
      </c>
      <c r="H1356" s="22" t="s">
        <v>155</v>
      </c>
      <c r="I1356" s="25" t="s">
        <v>3933</v>
      </c>
      <c r="J1356" s="19" t="s">
        <v>3462</v>
      </c>
      <c r="K1356" s="19" t="s">
        <v>94</v>
      </c>
      <c r="L1356" s="22"/>
      <c r="M1356" s="26"/>
      <c r="N1356" s="26"/>
      <c r="O1356" s="26"/>
      <c r="P1356" s="26"/>
      <c r="Q1356" s="26"/>
    </row>
    <row r="1357" ht="15.75" hidden="1" customHeight="1">
      <c r="A1357" s="31" t="s">
        <v>39</v>
      </c>
      <c r="B1357" s="9" t="s">
        <v>3786</v>
      </c>
      <c r="C1357" s="19" t="s">
        <v>187</v>
      </c>
      <c r="D1357" s="22" t="s">
        <v>3934</v>
      </c>
      <c r="E1357" s="19" t="s">
        <v>109</v>
      </c>
      <c r="F1357" s="19" t="s">
        <v>868</v>
      </c>
      <c r="G1357" s="19" t="s">
        <v>142</v>
      </c>
      <c r="H1357" s="22" t="s">
        <v>155</v>
      </c>
      <c r="I1357" s="25" t="s">
        <v>1639</v>
      </c>
      <c r="J1357" s="19" t="s">
        <v>456</v>
      </c>
      <c r="K1357" s="19" t="s">
        <v>13</v>
      </c>
      <c r="L1357" s="22" t="s">
        <v>3935</v>
      </c>
      <c r="M1357" s="26"/>
      <c r="N1357" s="26"/>
      <c r="O1357" s="26"/>
      <c r="P1357" s="26"/>
      <c r="Q1357" s="26"/>
    </row>
    <row r="1358" ht="15.75" hidden="1" customHeight="1">
      <c r="A1358" s="31" t="s">
        <v>39</v>
      </c>
      <c r="B1358" s="9" t="s">
        <v>3786</v>
      </c>
      <c r="C1358" s="19" t="s">
        <v>2279</v>
      </c>
      <c r="D1358" s="22" t="s">
        <v>3936</v>
      </c>
      <c r="E1358" s="19" t="s">
        <v>109</v>
      </c>
      <c r="F1358" s="19" t="s">
        <v>421</v>
      </c>
      <c r="G1358" s="19" t="s">
        <v>135</v>
      </c>
      <c r="H1358" s="22" t="s">
        <v>155</v>
      </c>
      <c r="I1358" s="25" t="s">
        <v>3937</v>
      </c>
      <c r="J1358" s="19" t="s">
        <v>561</v>
      </c>
      <c r="K1358" s="19" t="s">
        <v>94</v>
      </c>
      <c r="L1358" s="22"/>
      <c r="M1358" s="26"/>
      <c r="N1358" s="26"/>
      <c r="O1358" s="26"/>
      <c r="P1358" s="26"/>
      <c r="Q1358" s="26"/>
    </row>
    <row r="1359" ht="15.75" hidden="1" customHeight="1">
      <c r="A1359" s="31" t="s">
        <v>39</v>
      </c>
      <c r="B1359" s="9" t="s">
        <v>3786</v>
      </c>
      <c r="C1359" s="19" t="s">
        <v>3721</v>
      </c>
      <c r="D1359" s="22" t="s">
        <v>1362</v>
      </c>
      <c r="E1359" s="19" t="s">
        <v>109</v>
      </c>
      <c r="F1359" s="19" t="s">
        <v>2534</v>
      </c>
      <c r="G1359" s="19" t="s">
        <v>135</v>
      </c>
      <c r="H1359" s="22" t="s">
        <v>155</v>
      </c>
      <c r="I1359" s="25" t="s">
        <v>3938</v>
      </c>
      <c r="J1359" s="19" t="s">
        <v>298</v>
      </c>
      <c r="K1359" s="19" t="s">
        <v>94</v>
      </c>
      <c r="L1359" s="22"/>
      <c r="M1359" s="26"/>
      <c r="N1359" s="26"/>
      <c r="O1359" s="26"/>
      <c r="P1359" s="26"/>
      <c r="Q1359" s="26"/>
    </row>
    <row r="1360" ht="15.75" customHeight="1">
      <c r="A1360" s="31" t="s">
        <v>39</v>
      </c>
      <c r="B1360" s="9" t="s">
        <v>3786</v>
      </c>
      <c r="C1360" s="19" t="s">
        <v>2837</v>
      </c>
      <c r="D1360" s="22" t="s">
        <v>3939</v>
      </c>
      <c r="E1360" s="19" t="s">
        <v>127</v>
      </c>
      <c r="F1360" s="19" t="s">
        <v>134</v>
      </c>
      <c r="G1360" s="19" t="s">
        <v>90</v>
      </c>
      <c r="H1360" s="22" t="s">
        <v>155</v>
      </c>
      <c r="I1360" s="25" t="s">
        <v>2839</v>
      </c>
      <c r="J1360" s="19"/>
      <c r="K1360" s="19" t="s">
        <v>112</v>
      </c>
      <c r="L1360" s="22"/>
      <c r="M1360" s="26"/>
      <c r="N1360" s="26"/>
      <c r="O1360" s="26"/>
      <c r="P1360" s="26"/>
      <c r="Q1360" s="26"/>
    </row>
    <row r="1361" ht="15.75" hidden="1" customHeight="1">
      <c r="A1361" s="31" t="s">
        <v>39</v>
      </c>
      <c r="B1361" s="9" t="s">
        <v>3786</v>
      </c>
      <c r="C1361" s="19" t="s">
        <v>808</v>
      </c>
      <c r="D1361" s="22" t="s">
        <v>3940</v>
      </c>
      <c r="E1361" s="19" t="s">
        <v>109</v>
      </c>
      <c r="F1361" s="19" t="s">
        <v>1129</v>
      </c>
      <c r="G1361" s="19" t="s">
        <v>135</v>
      </c>
      <c r="H1361" s="22" t="s">
        <v>155</v>
      </c>
      <c r="I1361" s="25" t="s">
        <v>1025</v>
      </c>
      <c r="J1361" s="19" t="s">
        <v>558</v>
      </c>
      <c r="K1361" s="19" t="s">
        <v>94</v>
      </c>
      <c r="L1361" s="22"/>
      <c r="M1361" s="26"/>
      <c r="N1361" s="26"/>
      <c r="O1361" s="26"/>
      <c r="P1361" s="26"/>
      <c r="Q1361" s="26"/>
    </row>
    <row r="1362" ht="15.75" customHeight="1">
      <c r="A1362" s="31" t="s">
        <v>39</v>
      </c>
      <c r="B1362" s="9" t="s">
        <v>3786</v>
      </c>
      <c r="C1362" s="19" t="s">
        <v>3941</v>
      </c>
      <c r="D1362" s="22" t="s">
        <v>3942</v>
      </c>
      <c r="E1362" s="19" t="s">
        <v>121</v>
      </c>
      <c r="F1362" s="19" t="s">
        <v>89</v>
      </c>
      <c r="G1362" s="19" t="s">
        <v>90</v>
      </c>
      <c r="H1362" s="22" t="s">
        <v>155</v>
      </c>
      <c r="I1362" s="25" t="s">
        <v>3943</v>
      </c>
      <c r="J1362" s="19" t="s">
        <v>373</v>
      </c>
      <c r="K1362" s="19" t="s">
        <v>92</v>
      </c>
      <c r="L1362" s="22"/>
      <c r="M1362" s="26"/>
      <c r="N1362" s="26"/>
      <c r="O1362" s="26"/>
      <c r="P1362" s="26"/>
      <c r="Q1362" s="26"/>
    </row>
    <row r="1363" ht="15.75" hidden="1" customHeight="1">
      <c r="A1363" s="31" t="s">
        <v>39</v>
      </c>
      <c r="B1363" s="9" t="s">
        <v>3786</v>
      </c>
      <c r="C1363" s="19" t="s">
        <v>3103</v>
      </c>
      <c r="D1363" s="22" t="s">
        <v>3944</v>
      </c>
      <c r="E1363" s="19" t="s">
        <v>109</v>
      </c>
      <c r="F1363" s="19" t="s">
        <v>868</v>
      </c>
      <c r="G1363" s="19" t="s">
        <v>135</v>
      </c>
      <c r="H1363" s="22" t="s">
        <v>155</v>
      </c>
      <c r="I1363" s="25" t="s">
        <v>3945</v>
      </c>
      <c r="J1363" s="19"/>
      <c r="K1363" s="19" t="s">
        <v>143</v>
      </c>
      <c r="L1363" s="22" t="s">
        <v>3929</v>
      </c>
      <c r="M1363" s="26"/>
      <c r="N1363" s="26"/>
      <c r="O1363" s="26"/>
      <c r="P1363" s="26"/>
      <c r="Q1363" s="26"/>
    </row>
    <row r="1364" ht="15.75" hidden="1" customHeight="1">
      <c r="A1364" s="31" t="s">
        <v>39</v>
      </c>
      <c r="B1364" s="9" t="s">
        <v>3786</v>
      </c>
      <c r="C1364" s="19" t="s">
        <v>3946</v>
      </c>
      <c r="D1364" s="22" t="s">
        <v>1362</v>
      </c>
      <c r="E1364" s="19" t="s">
        <v>109</v>
      </c>
      <c r="F1364" s="19" t="s">
        <v>241</v>
      </c>
      <c r="G1364" s="19" t="s">
        <v>135</v>
      </c>
      <c r="H1364" s="22" t="s">
        <v>155</v>
      </c>
      <c r="I1364" s="25" t="s">
        <v>3947</v>
      </c>
      <c r="J1364" s="19"/>
      <c r="K1364" s="19" t="s">
        <v>74</v>
      </c>
      <c r="L1364" s="22" t="s">
        <v>723</v>
      </c>
      <c r="M1364" s="26"/>
      <c r="N1364" s="26"/>
      <c r="O1364" s="26"/>
      <c r="P1364" s="26"/>
      <c r="Q1364" s="26"/>
    </row>
    <row r="1365" ht="15.75" hidden="1" customHeight="1">
      <c r="A1365" s="31" t="s">
        <v>39</v>
      </c>
      <c r="B1365" s="9" t="s">
        <v>3786</v>
      </c>
      <c r="C1365" s="19" t="s">
        <v>1141</v>
      </c>
      <c r="D1365" s="22" t="s">
        <v>1362</v>
      </c>
      <c r="E1365" s="19" t="s">
        <v>109</v>
      </c>
      <c r="F1365" s="19" t="s">
        <v>103</v>
      </c>
      <c r="G1365" s="19" t="s">
        <v>135</v>
      </c>
      <c r="H1365" s="22" t="s">
        <v>155</v>
      </c>
      <c r="I1365" s="25" t="s">
        <v>3948</v>
      </c>
      <c r="J1365" s="19" t="s">
        <v>941</v>
      </c>
      <c r="K1365" s="19" t="s">
        <v>94</v>
      </c>
      <c r="L1365" s="22"/>
      <c r="M1365" s="26"/>
      <c r="N1365" s="26"/>
      <c r="O1365" s="26"/>
      <c r="P1365" s="26"/>
      <c r="Q1365" s="26"/>
    </row>
    <row r="1366" ht="15.75" customHeight="1">
      <c r="A1366" s="31" t="s">
        <v>39</v>
      </c>
      <c r="B1366" s="9" t="s">
        <v>3786</v>
      </c>
      <c r="C1366" s="19" t="s">
        <v>201</v>
      </c>
      <c r="D1366" s="22" t="s">
        <v>3949</v>
      </c>
      <c r="E1366" s="19" t="s">
        <v>127</v>
      </c>
      <c r="F1366" s="19" t="s">
        <v>3188</v>
      </c>
      <c r="G1366" s="19" t="s">
        <v>90</v>
      </c>
      <c r="H1366" s="22" t="s">
        <v>155</v>
      </c>
      <c r="I1366" s="25" t="s">
        <v>2676</v>
      </c>
      <c r="J1366" s="19" t="s">
        <v>95</v>
      </c>
      <c r="K1366" s="19" t="s">
        <v>78</v>
      </c>
      <c r="L1366" s="22"/>
      <c r="M1366" s="26"/>
      <c r="N1366" s="26"/>
      <c r="O1366" s="26"/>
      <c r="P1366" s="26"/>
      <c r="Q1366" s="26"/>
    </row>
    <row r="1367" ht="15.75" hidden="1" customHeight="1">
      <c r="A1367" s="31" t="s">
        <v>39</v>
      </c>
      <c r="B1367" s="9" t="s">
        <v>3786</v>
      </c>
      <c r="C1367" s="19" t="s">
        <v>3950</v>
      </c>
      <c r="D1367" s="22" t="s">
        <v>3951</v>
      </c>
      <c r="E1367" s="19" t="s">
        <v>109</v>
      </c>
      <c r="F1367" s="19" t="s">
        <v>2201</v>
      </c>
      <c r="G1367" s="19" t="s">
        <v>135</v>
      </c>
      <c r="H1367" s="22" t="s">
        <v>155</v>
      </c>
      <c r="I1367" s="25" t="s">
        <v>3952</v>
      </c>
      <c r="J1367" s="19"/>
      <c r="K1367" s="19" t="s">
        <v>74</v>
      </c>
      <c r="L1367" s="22" t="s">
        <v>723</v>
      </c>
      <c r="M1367" s="26"/>
      <c r="N1367" s="26"/>
      <c r="O1367" s="26"/>
      <c r="P1367" s="26"/>
      <c r="Q1367" s="26"/>
    </row>
    <row r="1368" ht="15.75" hidden="1" customHeight="1">
      <c r="A1368" s="31" t="s">
        <v>39</v>
      </c>
      <c r="B1368" s="9" t="s">
        <v>3786</v>
      </c>
      <c r="C1368" s="19" t="s">
        <v>3953</v>
      </c>
      <c r="D1368" s="22" t="s">
        <v>3954</v>
      </c>
      <c r="E1368" s="19" t="s">
        <v>109</v>
      </c>
      <c r="F1368" s="19" t="s">
        <v>560</v>
      </c>
      <c r="G1368" s="19" t="s">
        <v>135</v>
      </c>
      <c r="H1368" s="22" t="s">
        <v>155</v>
      </c>
      <c r="I1368" s="25" t="s">
        <v>3955</v>
      </c>
      <c r="J1368" s="19" t="s">
        <v>273</v>
      </c>
      <c r="K1368" s="19" t="s">
        <v>94</v>
      </c>
      <c r="L1368" s="22"/>
      <c r="M1368" s="26"/>
      <c r="N1368" s="26"/>
      <c r="O1368" s="26"/>
      <c r="P1368" s="26"/>
      <c r="Q1368" s="26"/>
    </row>
    <row r="1369" ht="15.75" customHeight="1">
      <c r="A1369" s="31" t="s">
        <v>39</v>
      </c>
      <c r="B1369" s="9" t="s">
        <v>3786</v>
      </c>
      <c r="C1369" s="19" t="s">
        <v>3956</v>
      </c>
      <c r="D1369" s="22" t="s">
        <v>3957</v>
      </c>
      <c r="E1369" s="19" t="s">
        <v>127</v>
      </c>
      <c r="F1369" s="19" t="s">
        <v>3415</v>
      </c>
      <c r="G1369" s="19" t="s">
        <v>90</v>
      </c>
      <c r="H1369" s="22" t="s">
        <v>155</v>
      </c>
      <c r="I1369" s="25" t="s">
        <v>3958</v>
      </c>
      <c r="J1369" s="19"/>
      <c r="K1369" s="19" t="s">
        <v>100</v>
      </c>
      <c r="L1369" s="22" t="s">
        <v>2028</v>
      </c>
      <c r="M1369" s="26"/>
      <c r="N1369" s="26"/>
      <c r="O1369" s="26"/>
      <c r="P1369" s="26"/>
      <c r="Q1369" s="26"/>
    </row>
    <row r="1370" ht="15.75" hidden="1" customHeight="1">
      <c r="A1370" s="31" t="s">
        <v>39</v>
      </c>
      <c r="B1370" s="9" t="s">
        <v>3786</v>
      </c>
      <c r="C1370" s="19" t="s">
        <v>2864</v>
      </c>
      <c r="D1370" s="22" t="s">
        <v>3959</v>
      </c>
      <c r="E1370" s="19" t="s">
        <v>109</v>
      </c>
      <c r="F1370" s="19" t="s">
        <v>3879</v>
      </c>
      <c r="G1370" s="19" t="s">
        <v>135</v>
      </c>
      <c r="H1370" s="22" t="s">
        <v>155</v>
      </c>
      <c r="I1370" s="25" t="s">
        <v>2865</v>
      </c>
      <c r="J1370" s="19" t="s">
        <v>95</v>
      </c>
      <c r="K1370" s="19" t="s">
        <v>99</v>
      </c>
      <c r="L1370" s="22" t="s">
        <v>3960</v>
      </c>
      <c r="M1370" s="26"/>
      <c r="N1370" s="26"/>
      <c r="O1370" s="26"/>
      <c r="P1370" s="26"/>
      <c r="Q1370" s="26"/>
    </row>
    <row r="1371" ht="15.75" hidden="1" customHeight="1">
      <c r="A1371" s="31" t="s">
        <v>39</v>
      </c>
      <c r="B1371" s="9" t="s">
        <v>3961</v>
      </c>
      <c r="C1371" s="19" t="s">
        <v>2226</v>
      </c>
      <c r="D1371" s="22" t="s">
        <v>2989</v>
      </c>
      <c r="E1371" s="19" t="s">
        <v>109</v>
      </c>
      <c r="F1371" s="19" t="s">
        <v>295</v>
      </c>
      <c r="G1371" s="19" t="s">
        <v>135</v>
      </c>
      <c r="H1371" s="22" t="s">
        <v>365</v>
      </c>
      <c r="I1371" s="25" t="s">
        <v>2990</v>
      </c>
      <c r="J1371" s="19" t="s">
        <v>982</v>
      </c>
      <c r="K1371" s="19" t="s">
        <v>156</v>
      </c>
      <c r="L1371" s="22" t="s">
        <v>3962</v>
      </c>
      <c r="M1371" s="26"/>
      <c r="N1371" s="26"/>
      <c r="O1371" s="26"/>
      <c r="P1371" s="26"/>
      <c r="Q1371" s="26"/>
    </row>
    <row r="1372" ht="15.75" hidden="1" customHeight="1">
      <c r="A1372" s="31" t="s">
        <v>39</v>
      </c>
      <c r="B1372" s="9" t="s">
        <v>3961</v>
      </c>
      <c r="C1372" s="19" t="s">
        <v>3453</v>
      </c>
      <c r="D1372" s="22" t="s">
        <v>3963</v>
      </c>
      <c r="E1372" s="19" t="s">
        <v>109</v>
      </c>
      <c r="F1372" s="19" t="s">
        <v>295</v>
      </c>
      <c r="G1372" s="19" t="s">
        <v>135</v>
      </c>
      <c r="H1372" s="22" t="s">
        <v>365</v>
      </c>
      <c r="I1372" s="25" t="s">
        <v>3454</v>
      </c>
      <c r="J1372" s="19"/>
      <c r="K1372" s="19" t="s">
        <v>117</v>
      </c>
      <c r="L1372" s="22" t="s">
        <v>1810</v>
      </c>
      <c r="M1372" s="26"/>
      <c r="N1372" s="26"/>
      <c r="O1372" s="26"/>
      <c r="P1372" s="26"/>
      <c r="Q1372" s="26"/>
    </row>
    <row r="1373" ht="15.75" customHeight="1">
      <c r="A1373" s="31" t="s">
        <v>39</v>
      </c>
      <c r="B1373" s="9" t="s">
        <v>3961</v>
      </c>
      <c r="C1373" s="19" t="s">
        <v>1204</v>
      </c>
      <c r="D1373" s="22" t="s">
        <v>3964</v>
      </c>
      <c r="E1373" s="19" t="s">
        <v>129</v>
      </c>
      <c r="F1373" s="19" t="s">
        <v>295</v>
      </c>
      <c r="G1373" s="19" t="s">
        <v>90</v>
      </c>
      <c r="H1373" s="22" t="s">
        <v>365</v>
      </c>
      <c r="I1373" s="25" t="s">
        <v>3965</v>
      </c>
      <c r="J1373" s="19" t="s">
        <v>95</v>
      </c>
      <c r="K1373" s="19" t="s">
        <v>207</v>
      </c>
      <c r="L1373" s="22" t="s">
        <v>3966</v>
      </c>
      <c r="M1373" s="26"/>
      <c r="N1373" s="26"/>
      <c r="O1373" s="26"/>
      <c r="P1373" s="26"/>
      <c r="Q1373" s="26"/>
    </row>
    <row r="1374" ht="15.75" hidden="1" customHeight="1">
      <c r="A1374" s="31" t="s">
        <v>39</v>
      </c>
      <c r="B1374" s="9" t="s">
        <v>3961</v>
      </c>
      <c r="C1374" s="19" t="s">
        <v>642</v>
      </c>
      <c r="D1374" s="22" t="s">
        <v>3967</v>
      </c>
      <c r="E1374" s="19" t="s">
        <v>115</v>
      </c>
      <c r="F1374" s="19" t="s">
        <v>494</v>
      </c>
      <c r="G1374" s="19" t="s">
        <v>57</v>
      </c>
      <c r="H1374" s="22" t="s">
        <v>155</v>
      </c>
      <c r="I1374" s="25" t="s">
        <v>3968</v>
      </c>
      <c r="J1374" s="19"/>
      <c r="K1374" s="19" t="s">
        <v>211</v>
      </c>
      <c r="L1374" s="22"/>
      <c r="M1374" s="26"/>
      <c r="N1374" s="26"/>
      <c r="O1374" s="26"/>
      <c r="P1374" s="26"/>
      <c r="Q1374" s="26"/>
    </row>
    <row r="1375" ht="15.75" hidden="1" customHeight="1">
      <c r="A1375" s="31" t="s">
        <v>39</v>
      </c>
      <c r="B1375" s="9" t="s">
        <v>3961</v>
      </c>
      <c r="C1375" s="19" t="s">
        <v>2575</v>
      </c>
      <c r="D1375" s="22" t="s">
        <v>3969</v>
      </c>
      <c r="E1375" s="19" t="s">
        <v>109</v>
      </c>
      <c r="F1375" s="19" t="s">
        <v>295</v>
      </c>
      <c r="G1375" s="19" t="s">
        <v>135</v>
      </c>
      <c r="H1375" s="22" t="s">
        <v>365</v>
      </c>
      <c r="I1375" s="25" t="s">
        <v>3970</v>
      </c>
      <c r="J1375" s="19"/>
      <c r="K1375" s="19" t="s">
        <v>99</v>
      </c>
      <c r="L1375" s="22" t="s">
        <v>539</v>
      </c>
      <c r="M1375" s="26"/>
      <c r="N1375" s="26"/>
      <c r="O1375" s="26"/>
      <c r="P1375" s="26"/>
      <c r="Q1375" s="26"/>
    </row>
    <row r="1376" ht="15.75" hidden="1" customHeight="1">
      <c r="A1376" s="31" t="s">
        <v>39</v>
      </c>
      <c r="B1376" s="9" t="s">
        <v>3961</v>
      </c>
      <c r="C1376" s="19" t="s">
        <v>3971</v>
      </c>
      <c r="D1376" s="22" t="s">
        <v>3972</v>
      </c>
      <c r="E1376" s="19" t="s">
        <v>115</v>
      </c>
      <c r="F1376" s="19" t="s">
        <v>3973</v>
      </c>
      <c r="G1376" s="19" t="s">
        <v>146</v>
      </c>
      <c r="H1376" s="22" t="s">
        <v>155</v>
      </c>
      <c r="I1376" s="25" t="s">
        <v>3974</v>
      </c>
      <c r="J1376" s="19"/>
      <c r="K1376" s="19" t="s">
        <v>100</v>
      </c>
      <c r="L1376" s="22"/>
      <c r="M1376" s="26"/>
      <c r="N1376" s="26"/>
      <c r="O1376" s="26"/>
      <c r="P1376" s="26"/>
      <c r="Q1376" s="26"/>
    </row>
    <row r="1377" ht="15.75" hidden="1" customHeight="1">
      <c r="A1377" s="31" t="s">
        <v>39</v>
      </c>
      <c r="B1377" s="9" t="s">
        <v>3961</v>
      </c>
      <c r="C1377" s="19" t="s">
        <v>3975</v>
      </c>
      <c r="D1377" s="22" t="s">
        <v>3788</v>
      </c>
      <c r="E1377" s="19" t="s">
        <v>109</v>
      </c>
      <c r="F1377" s="19" t="s">
        <v>295</v>
      </c>
      <c r="G1377" s="19" t="s">
        <v>135</v>
      </c>
      <c r="H1377" s="22" t="s">
        <v>365</v>
      </c>
      <c r="I1377" s="25" t="s">
        <v>3477</v>
      </c>
      <c r="J1377" s="19" t="s">
        <v>140</v>
      </c>
      <c r="K1377" s="19" t="s">
        <v>13</v>
      </c>
      <c r="L1377" s="22" t="s">
        <v>3976</v>
      </c>
      <c r="M1377" s="26"/>
      <c r="N1377" s="26"/>
      <c r="O1377" s="26"/>
      <c r="P1377" s="26"/>
      <c r="Q1377" s="26"/>
    </row>
    <row r="1378" ht="15.75" hidden="1" customHeight="1">
      <c r="A1378" s="31" t="s">
        <v>39</v>
      </c>
      <c r="B1378" s="9" t="s">
        <v>3961</v>
      </c>
      <c r="C1378" s="19" t="s">
        <v>3919</v>
      </c>
      <c r="D1378" s="22" t="s">
        <v>3977</v>
      </c>
      <c r="E1378" s="19" t="s">
        <v>109</v>
      </c>
      <c r="F1378" s="19" t="s">
        <v>295</v>
      </c>
      <c r="G1378" s="19" t="s">
        <v>135</v>
      </c>
      <c r="H1378" s="22" t="s">
        <v>365</v>
      </c>
      <c r="I1378" s="25" t="s">
        <v>3921</v>
      </c>
      <c r="J1378" s="19"/>
      <c r="K1378" s="19" t="s">
        <v>137</v>
      </c>
      <c r="L1378" s="22" t="s">
        <v>3978</v>
      </c>
      <c r="M1378" s="26"/>
      <c r="N1378" s="26"/>
      <c r="O1378" s="26"/>
      <c r="P1378" s="26"/>
      <c r="Q1378" s="26"/>
    </row>
    <row r="1379" ht="15.75" hidden="1" customHeight="1">
      <c r="A1379" s="31" t="s">
        <v>39</v>
      </c>
      <c r="B1379" s="9" t="s">
        <v>3961</v>
      </c>
      <c r="C1379" s="19" t="s">
        <v>3979</v>
      </c>
      <c r="D1379" s="22" t="s">
        <v>3980</v>
      </c>
      <c r="E1379" s="19" t="s">
        <v>115</v>
      </c>
      <c r="F1379" s="19" t="s">
        <v>2221</v>
      </c>
      <c r="G1379" s="19" t="s">
        <v>57</v>
      </c>
      <c r="H1379" s="22" t="s">
        <v>155</v>
      </c>
      <c r="I1379" s="25" t="s">
        <v>3981</v>
      </c>
      <c r="J1379" s="19"/>
      <c r="K1379" s="19" t="s">
        <v>74</v>
      </c>
      <c r="L1379" s="22"/>
      <c r="M1379" s="26"/>
      <c r="N1379" s="26"/>
      <c r="O1379" s="26"/>
      <c r="P1379" s="26"/>
      <c r="Q1379" s="26"/>
    </row>
    <row r="1380" ht="15.75" hidden="1" customHeight="1">
      <c r="A1380" s="31" t="s">
        <v>39</v>
      </c>
      <c r="B1380" s="9" t="s">
        <v>3961</v>
      </c>
      <c r="C1380" s="19" t="s">
        <v>3979</v>
      </c>
      <c r="D1380" s="22" t="s">
        <v>3982</v>
      </c>
      <c r="E1380" s="19" t="s">
        <v>115</v>
      </c>
      <c r="F1380" s="19" t="s">
        <v>2221</v>
      </c>
      <c r="G1380" s="19" t="s">
        <v>57</v>
      </c>
      <c r="H1380" s="22" t="s">
        <v>155</v>
      </c>
      <c r="I1380" s="25" t="s">
        <v>3983</v>
      </c>
      <c r="J1380" s="19"/>
      <c r="K1380" s="19" t="s">
        <v>74</v>
      </c>
      <c r="L1380" s="22"/>
      <c r="M1380" s="26"/>
      <c r="N1380" s="26"/>
      <c r="O1380" s="26"/>
      <c r="P1380" s="26"/>
      <c r="Q1380" s="26"/>
    </row>
    <row r="1381" ht="15.75" hidden="1" customHeight="1">
      <c r="A1381" s="31" t="s">
        <v>39</v>
      </c>
      <c r="B1381" s="9" t="s">
        <v>3961</v>
      </c>
      <c r="C1381" s="19" t="s">
        <v>3979</v>
      </c>
      <c r="D1381" s="22" t="s">
        <v>3984</v>
      </c>
      <c r="E1381" s="19" t="s">
        <v>115</v>
      </c>
      <c r="F1381" s="19" t="s">
        <v>2221</v>
      </c>
      <c r="G1381" s="19" t="s">
        <v>57</v>
      </c>
      <c r="H1381" s="22" t="s">
        <v>155</v>
      </c>
      <c r="I1381" s="25" t="s">
        <v>3985</v>
      </c>
      <c r="J1381" s="19"/>
      <c r="K1381" s="19" t="s">
        <v>74</v>
      </c>
      <c r="L1381" s="22"/>
      <c r="M1381" s="26"/>
      <c r="N1381" s="26"/>
      <c r="O1381" s="26"/>
      <c r="P1381" s="26"/>
      <c r="Q1381" s="26"/>
    </row>
    <row r="1382" ht="15.75" hidden="1" customHeight="1">
      <c r="A1382" s="31" t="s">
        <v>39</v>
      </c>
      <c r="B1382" s="9" t="s">
        <v>3961</v>
      </c>
      <c r="C1382" s="19" t="s">
        <v>3986</v>
      </c>
      <c r="D1382" s="22" t="s">
        <v>1362</v>
      </c>
      <c r="E1382" s="19" t="s">
        <v>109</v>
      </c>
      <c r="F1382" s="19" t="s">
        <v>295</v>
      </c>
      <c r="G1382" s="19" t="s">
        <v>135</v>
      </c>
      <c r="H1382" s="22" t="s">
        <v>365</v>
      </c>
      <c r="I1382" s="25" t="s">
        <v>3987</v>
      </c>
      <c r="J1382" s="19" t="s">
        <v>157</v>
      </c>
      <c r="K1382" s="19" t="s">
        <v>152</v>
      </c>
      <c r="L1382" s="22" t="s">
        <v>1271</v>
      </c>
      <c r="M1382" s="26"/>
      <c r="N1382" s="26"/>
      <c r="O1382" s="26"/>
      <c r="P1382" s="26"/>
      <c r="Q1382" s="26"/>
    </row>
    <row r="1383" ht="15.75" hidden="1" customHeight="1">
      <c r="A1383" s="31" t="s">
        <v>39</v>
      </c>
      <c r="B1383" s="9" t="s">
        <v>3961</v>
      </c>
      <c r="C1383" s="19" t="s">
        <v>3988</v>
      </c>
      <c r="D1383" s="22" t="s">
        <v>3989</v>
      </c>
      <c r="E1383" s="19" t="s">
        <v>115</v>
      </c>
      <c r="F1383" s="19" t="s">
        <v>3990</v>
      </c>
      <c r="G1383" s="19" t="s">
        <v>57</v>
      </c>
      <c r="H1383" s="22" t="s">
        <v>155</v>
      </c>
      <c r="I1383" s="25" t="s">
        <v>3991</v>
      </c>
      <c r="J1383" s="19"/>
      <c r="K1383" s="19" t="s">
        <v>13</v>
      </c>
      <c r="L1383" s="22" t="s">
        <v>698</v>
      </c>
      <c r="M1383" s="26"/>
      <c r="N1383" s="26"/>
      <c r="O1383" s="26"/>
      <c r="P1383" s="26"/>
      <c r="Q1383" s="26"/>
    </row>
    <row r="1384" ht="15.75" hidden="1" customHeight="1">
      <c r="A1384" s="31" t="s">
        <v>39</v>
      </c>
      <c r="B1384" s="9" t="s">
        <v>3961</v>
      </c>
      <c r="C1384" s="19" t="s">
        <v>3356</v>
      </c>
      <c r="D1384" s="22" t="s">
        <v>3992</v>
      </c>
      <c r="E1384" s="19" t="s">
        <v>115</v>
      </c>
      <c r="F1384" s="19" t="s">
        <v>3358</v>
      </c>
      <c r="G1384" s="19" t="s">
        <v>57</v>
      </c>
      <c r="H1384" s="22" t="s">
        <v>155</v>
      </c>
      <c r="I1384" s="25" t="s">
        <v>3359</v>
      </c>
      <c r="J1384" s="19" t="s">
        <v>1445</v>
      </c>
      <c r="K1384" s="19" t="s">
        <v>94</v>
      </c>
      <c r="L1384" s="22"/>
      <c r="M1384" s="26"/>
      <c r="N1384" s="26"/>
      <c r="O1384" s="26"/>
      <c r="P1384" s="26"/>
      <c r="Q1384" s="26"/>
    </row>
    <row r="1385" ht="15.75" hidden="1" customHeight="1">
      <c r="A1385" s="31" t="s">
        <v>39</v>
      </c>
      <c r="B1385" s="9" t="s">
        <v>3993</v>
      </c>
      <c r="C1385" s="19" t="s">
        <v>2226</v>
      </c>
      <c r="D1385" s="22" t="s">
        <v>3994</v>
      </c>
      <c r="E1385" s="19" t="s">
        <v>115</v>
      </c>
      <c r="F1385" s="19" t="s">
        <v>295</v>
      </c>
      <c r="G1385" s="19" t="s">
        <v>57</v>
      </c>
      <c r="H1385" s="22" t="s">
        <v>365</v>
      </c>
      <c r="I1385" s="25" t="s">
        <v>3995</v>
      </c>
      <c r="J1385" s="19" t="s">
        <v>982</v>
      </c>
      <c r="K1385" s="19" t="s">
        <v>66</v>
      </c>
      <c r="L1385" s="22"/>
      <c r="M1385" s="26"/>
      <c r="N1385" s="26"/>
      <c r="O1385" s="26"/>
      <c r="P1385" s="26"/>
      <c r="Q1385" s="26"/>
    </row>
    <row r="1386" ht="15.75" hidden="1" customHeight="1">
      <c r="A1386" s="31" t="s">
        <v>39</v>
      </c>
      <c r="B1386" s="9" t="s">
        <v>3993</v>
      </c>
      <c r="C1386" s="19" t="s">
        <v>3996</v>
      </c>
      <c r="D1386" s="22" t="s">
        <v>2501</v>
      </c>
      <c r="E1386" s="19" t="s">
        <v>115</v>
      </c>
      <c r="F1386" s="19" t="s">
        <v>3997</v>
      </c>
      <c r="G1386" s="19" t="s">
        <v>57</v>
      </c>
      <c r="H1386" s="22" t="s">
        <v>365</v>
      </c>
      <c r="I1386" s="25" t="s">
        <v>3998</v>
      </c>
      <c r="J1386" s="19" t="s">
        <v>1400</v>
      </c>
      <c r="K1386" s="19" t="s">
        <v>66</v>
      </c>
      <c r="L1386" s="22"/>
      <c r="M1386" s="26"/>
      <c r="N1386" s="26"/>
      <c r="O1386" s="26"/>
      <c r="P1386" s="26"/>
      <c r="Q1386" s="26"/>
    </row>
    <row r="1387" ht="15.75" hidden="1" customHeight="1">
      <c r="A1387" s="31" t="s">
        <v>39</v>
      </c>
      <c r="B1387" s="9" t="s">
        <v>3993</v>
      </c>
      <c r="C1387" s="19" t="s">
        <v>3999</v>
      </c>
      <c r="D1387" s="22" t="s">
        <v>3184</v>
      </c>
      <c r="E1387" s="19" t="s">
        <v>115</v>
      </c>
      <c r="F1387" s="19" t="s">
        <v>295</v>
      </c>
      <c r="G1387" s="19" t="s">
        <v>57</v>
      </c>
      <c r="H1387" s="22" t="s">
        <v>365</v>
      </c>
      <c r="I1387" s="25" t="s">
        <v>4000</v>
      </c>
      <c r="J1387" s="19" t="s">
        <v>1850</v>
      </c>
      <c r="K1387" s="19" t="s">
        <v>66</v>
      </c>
      <c r="L1387" s="22"/>
      <c r="M1387" s="26"/>
      <c r="N1387" s="26"/>
      <c r="O1387" s="26"/>
      <c r="P1387" s="26"/>
      <c r="Q1387" s="26"/>
    </row>
    <row r="1388" ht="15.75" hidden="1" customHeight="1">
      <c r="A1388" s="31" t="s">
        <v>39</v>
      </c>
      <c r="B1388" s="9" t="s">
        <v>3993</v>
      </c>
      <c r="C1388" s="19" t="s">
        <v>4001</v>
      </c>
      <c r="D1388" s="22" t="s">
        <v>2694</v>
      </c>
      <c r="E1388" s="19" t="s">
        <v>115</v>
      </c>
      <c r="F1388" s="19" t="s">
        <v>295</v>
      </c>
      <c r="G1388" s="19" t="s">
        <v>57</v>
      </c>
      <c r="H1388" s="22" t="s">
        <v>365</v>
      </c>
      <c r="I1388" s="25" t="s">
        <v>4002</v>
      </c>
      <c r="J1388" s="19" t="s">
        <v>1314</v>
      </c>
      <c r="K1388" s="19" t="s">
        <v>66</v>
      </c>
      <c r="L1388" s="22"/>
      <c r="M1388" s="26"/>
      <c r="N1388" s="26"/>
      <c r="O1388" s="26"/>
      <c r="P1388" s="26"/>
      <c r="Q1388" s="26"/>
    </row>
    <row r="1389" ht="15.75" customHeight="1">
      <c r="A1389" s="31" t="s">
        <v>39</v>
      </c>
      <c r="B1389" s="9" t="s">
        <v>3993</v>
      </c>
      <c r="C1389" s="19" t="s">
        <v>84</v>
      </c>
      <c r="D1389" s="22" t="s">
        <v>4003</v>
      </c>
      <c r="E1389" s="19" t="s">
        <v>109</v>
      </c>
      <c r="F1389" s="19" t="s">
        <v>89</v>
      </c>
      <c r="G1389" s="19" t="s">
        <v>90</v>
      </c>
      <c r="H1389" s="32" t="s">
        <v>2956</v>
      </c>
      <c r="I1389" s="25" t="s">
        <v>4004</v>
      </c>
      <c r="J1389" s="19" t="s">
        <v>319</v>
      </c>
      <c r="K1389" s="19" t="s">
        <v>92</v>
      </c>
      <c r="L1389" s="22" t="s">
        <v>4005</v>
      </c>
      <c r="M1389" s="26"/>
      <c r="N1389" s="26"/>
      <c r="O1389" s="26"/>
      <c r="P1389" s="26"/>
      <c r="Q1389" s="26"/>
    </row>
    <row r="1390" ht="15.75" customHeight="1">
      <c r="A1390" s="31" t="s">
        <v>39</v>
      </c>
      <c r="B1390" s="9" t="s">
        <v>3993</v>
      </c>
      <c r="C1390" s="19" t="s">
        <v>84</v>
      </c>
      <c r="D1390" s="22" t="s">
        <v>4006</v>
      </c>
      <c r="E1390" s="19" t="s">
        <v>109</v>
      </c>
      <c r="F1390" s="19" t="s">
        <v>89</v>
      </c>
      <c r="G1390" s="19" t="s">
        <v>90</v>
      </c>
      <c r="H1390" s="32" t="s">
        <v>2956</v>
      </c>
      <c r="I1390" s="25" t="s">
        <v>4007</v>
      </c>
      <c r="J1390" s="19" t="s">
        <v>319</v>
      </c>
      <c r="K1390" s="19" t="s">
        <v>92</v>
      </c>
      <c r="L1390" s="22" t="s">
        <v>4005</v>
      </c>
      <c r="M1390" s="26"/>
      <c r="N1390" s="26"/>
      <c r="O1390" s="26"/>
      <c r="P1390" s="26"/>
      <c r="Q1390" s="26"/>
    </row>
    <row r="1391" ht="15.75" customHeight="1">
      <c r="A1391" s="31" t="s">
        <v>39</v>
      </c>
      <c r="B1391" s="9" t="s">
        <v>3993</v>
      </c>
      <c r="C1391" s="19" t="s">
        <v>84</v>
      </c>
      <c r="D1391" s="22" t="s">
        <v>4008</v>
      </c>
      <c r="E1391" s="19" t="s">
        <v>109</v>
      </c>
      <c r="F1391" s="19" t="s">
        <v>89</v>
      </c>
      <c r="G1391" s="19" t="s">
        <v>90</v>
      </c>
      <c r="H1391" s="32" t="s">
        <v>2956</v>
      </c>
      <c r="I1391" s="25" t="s">
        <v>4009</v>
      </c>
      <c r="J1391" s="19" t="s">
        <v>319</v>
      </c>
      <c r="K1391" s="19" t="s">
        <v>92</v>
      </c>
      <c r="L1391" s="22" t="s">
        <v>4005</v>
      </c>
      <c r="M1391" s="26"/>
      <c r="N1391" s="26"/>
      <c r="O1391" s="26"/>
      <c r="P1391" s="26"/>
      <c r="Q1391" s="26"/>
    </row>
    <row r="1392" ht="15.75" customHeight="1">
      <c r="A1392" s="31" t="s">
        <v>39</v>
      </c>
      <c r="B1392" s="9" t="s">
        <v>3993</v>
      </c>
      <c r="C1392" s="19" t="s">
        <v>84</v>
      </c>
      <c r="D1392" s="22" t="s">
        <v>4010</v>
      </c>
      <c r="E1392" s="19" t="s">
        <v>109</v>
      </c>
      <c r="F1392" s="19" t="s">
        <v>89</v>
      </c>
      <c r="G1392" s="19" t="s">
        <v>90</v>
      </c>
      <c r="H1392" s="32" t="s">
        <v>2956</v>
      </c>
      <c r="I1392" s="25" t="s">
        <v>4011</v>
      </c>
      <c r="J1392" s="19" t="s">
        <v>319</v>
      </c>
      <c r="K1392" s="19" t="s">
        <v>92</v>
      </c>
      <c r="L1392" s="22" t="s">
        <v>4005</v>
      </c>
      <c r="M1392" s="26"/>
      <c r="N1392" s="26"/>
      <c r="O1392" s="26"/>
      <c r="P1392" s="26"/>
      <c r="Q1392" s="26"/>
    </row>
    <row r="1393" ht="15.75" hidden="1" customHeight="1">
      <c r="A1393" s="31" t="s">
        <v>39</v>
      </c>
      <c r="B1393" s="9" t="s">
        <v>3993</v>
      </c>
      <c r="C1393" s="19" t="s">
        <v>4012</v>
      </c>
      <c r="D1393" s="22" t="s">
        <v>4013</v>
      </c>
      <c r="E1393" s="19" t="s">
        <v>115</v>
      </c>
      <c r="F1393" s="19" t="s">
        <v>295</v>
      </c>
      <c r="G1393" s="19" t="s">
        <v>57</v>
      </c>
      <c r="H1393" s="22" t="s">
        <v>365</v>
      </c>
      <c r="I1393" s="25" t="s">
        <v>4014</v>
      </c>
      <c r="J1393" s="19" t="s">
        <v>456</v>
      </c>
      <c r="K1393" s="19" t="s">
        <v>52</v>
      </c>
      <c r="L1393" s="22" t="s">
        <v>1810</v>
      </c>
      <c r="M1393" s="26"/>
      <c r="N1393" s="26"/>
      <c r="O1393" s="26"/>
      <c r="P1393" s="26"/>
      <c r="Q1393" s="26"/>
    </row>
    <row r="1394" ht="15.75" hidden="1" customHeight="1">
      <c r="A1394" s="31" t="s">
        <v>39</v>
      </c>
      <c r="B1394" s="9" t="s">
        <v>4015</v>
      </c>
      <c r="C1394" s="19" t="s">
        <v>2993</v>
      </c>
      <c r="D1394" s="22" t="s">
        <v>4016</v>
      </c>
      <c r="E1394" s="19" t="s">
        <v>119</v>
      </c>
      <c r="F1394" s="19" t="s">
        <v>1220</v>
      </c>
      <c r="G1394" s="19" t="s">
        <v>57</v>
      </c>
      <c r="H1394" s="22" t="s">
        <v>365</v>
      </c>
      <c r="I1394" s="25" t="s">
        <v>4017</v>
      </c>
      <c r="J1394" s="19" t="s">
        <v>1106</v>
      </c>
      <c r="K1394" s="19" t="s">
        <v>66</v>
      </c>
      <c r="L1394" s="22"/>
      <c r="M1394" s="26"/>
      <c r="N1394" s="26"/>
      <c r="O1394" s="26"/>
      <c r="P1394" s="26"/>
      <c r="Q1394" s="26"/>
    </row>
    <row r="1395" ht="15.75" hidden="1" customHeight="1">
      <c r="A1395" s="31" t="s">
        <v>39</v>
      </c>
      <c r="B1395" s="9" t="s">
        <v>4015</v>
      </c>
      <c r="C1395" s="19" t="s">
        <v>2993</v>
      </c>
      <c r="D1395" s="22" t="s">
        <v>4018</v>
      </c>
      <c r="E1395" s="19" t="s">
        <v>119</v>
      </c>
      <c r="F1395" s="19" t="s">
        <v>1220</v>
      </c>
      <c r="G1395" s="19" t="s">
        <v>57</v>
      </c>
      <c r="H1395" s="22" t="s">
        <v>365</v>
      </c>
      <c r="I1395" s="25" t="s">
        <v>4017</v>
      </c>
      <c r="J1395" s="19" t="s">
        <v>1106</v>
      </c>
      <c r="K1395" s="19" t="s">
        <v>66</v>
      </c>
      <c r="L1395" s="22"/>
      <c r="M1395" s="26"/>
      <c r="N1395" s="26"/>
      <c r="O1395" s="26"/>
      <c r="P1395" s="26"/>
      <c r="Q1395" s="26"/>
    </row>
    <row r="1396" ht="15.75" hidden="1" customHeight="1">
      <c r="A1396" s="31" t="s">
        <v>39</v>
      </c>
      <c r="B1396" s="9" t="s">
        <v>4015</v>
      </c>
      <c r="C1396" s="19" t="s">
        <v>4019</v>
      </c>
      <c r="D1396" s="22" t="s">
        <v>4020</v>
      </c>
      <c r="E1396" s="19" t="s">
        <v>115</v>
      </c>
      <c r="F1396" s="19" t="s">
        <v>4021</v>
      </c>
      <c r="G1396" s="19" t="s">
        <v>135</v>
      </c>
      <c r="H1396" s="22" t="s">
        <v>155</v>
      </c>
      <c r="I1396" s="25" t="s">
        <v>4022</v>
      </c>
      <c r="J1396" s="19"/>
      <c r="K1396" s="19" t="s">
        <v>74</v>
      </c>
      <c r="L1396" s="22" t="s">
        <v>723</v>
      </c>
      <c r="M1396" s="26"/>
      <c r="N1396" s="26"/>
      <c r="O1396" s="26"/>
      <c r="P1396" s="26"/>
      <c r="Q1396" s="26"/>
    </row>
    <row r="1397" ht="15.75" hidden="1" customHeight="1">
      <c r="A1397" s="31" t="s">
        <v>39</v>
      </c>
      <c r="B1397" s="9" t="s">
        <v>4015</v>
      </c>
      <c r="C1397" s="19" t="s">
        <v>1787</v>
      </c>
      <c r="D1397" s="22" t="s">
        <v>4023</v>
      </c>
      <c r="E1397" s="19" t="s">
        <v>115</v>
      </c>
      <c r="F1397" s="19" t="s">
        <v>295</v>
      </c>
      <c r="G1397" s="19" t="s">
        <v>135</v>
      </c>
      <c r="H1397" s="22" t="s">
        <v>155</v>
      </c>
      <c r="I1397" s="25" t="s">
        <v>1789</v>
      </c>
      <c r="J1397" s="19"/>
      <c r="K1397" s="19" t="s">
        <v>74</v>
      </c>
      <c r="L1397" s="22" t="s">
        <v>723</v>
      </c>
      <c r="M1397" s="26"/>
      <c r="N1397" s="26"/>
      <c r="O1397" s="26"/>
      <c r="P1397" s="26"/>
      <c r="Q1397" s="26"/>
    </row>
    <row r="1398" ht="15.75" hidden="1" customHeight="1">
      <c r="A1398" s="31" t="s">
        <v>39</v>
      </c>
      <c r="B1398" s="9" t="s">
        <v>4015</v>
      </c>
      <c r="C1398" s="19" t="s">
        <v>4024</v>
      </c>
      <c r="D1398" s="22" t="s">
        <v>4025</v>
      </c>
      <c r="E1398" s="19" t="s">
        <v>119</v>
      </c>
      <c r="F1398" s="19" t="s">
        <v>3353</v>
      </c>
      <c r="G1398" s="19" t="s">
        <v>57</v>
      </c>
      <c r="H1398" s="22" t="s">
        <v>365</v>
      </c>
      <c r="I1398" s="25" t="s">
        <v>4026</v>
      </c>
      <c r="J1398" s="19" t="s">
        <v>1850</v>
      </c>
      <c r="K1398" s="19" t="s">
        <v>66</v>
      </c>
      <c r="L1398" s="22"/>
      <c r="M1398" s="26"/>
      <c r="N1398" s="26"/>
      <c r="O1398" s="26"/>
      <c r="P1398" s="26"/>
      <c r="Q1398" s="26"/>
    </row>
    <row r="1399" ht="15.75" hidden="1" customHeight="1">
      <c r="A1399" s="31" t="s">
        <v>39</v>
      </c>
      <c r="B1399" s="9" t="s">
        <v>4015</v>
      </c>
      <c r="C1399" s="19" t="s">
        <v>4027</v>
      </c>
      <c r="D1399" s="22" t="s">
        <v>4028</v>
      </c>
      <c r="E1399" s="19" t="s">
        <v>115</v>
      </c>
      <c r="F1399" s="19" t="s">
        <v>4029</v>
      </c>
      <c r="G1399" s="19" t="s">
        <v>135</v>
      </c>
      <c r="H1399" s="22" t="s">
        <v>155</v>
      </c>
      <c r="I1399" s="25" t="s">
        <v>4030</v>
      </c>
      <c r="J1399" s="19"/>
      <c r="K1399" s="19" t="s">
        <v>74</v>
      </c>
      <c r="L1399" s="22" t="s">
        <v>723</v>
      </c>
      <c r="M1399" s="26"/>
      <c r="N1399" s="26"/>
      <c r="O1399" s="26"/>
      <c r="P1399" s="26"/>
      <c r="Q1399" s="26"/>
    </row>
    <row r="1400" ht="15.75" hidden="1" customHeight="1">
      <c r="A1400" s="31" t="s">
        <v>39</v>
      </c>
      <c r="B1400" s="9" t="s">
        <v>4015</v>
      </c>
      <c r="C1400" s="19" t="s">
        <v>4027</v>
      </c>
      <c r="D1400" s="22" t="s">
        <v>2501</v>
      </c>
      <c r="E1400" s="19" t="s">
        <v>115</v>
      </c>
      <c r="F1400" s="19" t="s">
        <v>4029</v>
      </c>
      <c r="G1400" s="19" t="s">
        <v>135</v>
      </c>
      <c r="H1400" s="22" t="s">
        <v>155</v>
      </c>
      <c r="I1400" s="25" t="s">
        <v>4030</v>
      </c>
      <c r="J1400" s="19"/>
      <c r="K1400" s="19" t="s">
        <v>74</v>
      </c>
      <c r="L1400" s="22" t="s">
        <v>723</v>
      </c>
      <c r="M1400" s="26"/>
      <c r="N1400" s="26"/>
      <c r="O1400" s="26"/>
      <c r="P1400" s="26"/>
      <c r="Q1400" s="26"/>
    </row>
    <row r="1401" ht="15.75" hidden="1" customHeight="1">
      <c r="A1401" s="31" t="s">
        <v>39</v>
      </c>
      <c r="B1401" s="9" t="s">
        <v>4015</v>
      </c>
      <c r="C1401" s="19" t="s">
        <v>4027</v>
      </c>
      <c r="D1401" s="22" t="s">
        <v>4031</v>
      </c>
      <c r="E1401" s="19" t="s">
        <v>115</v>
      </c>
      <c r="F1401" s="19" t="s">
        <v>4029</v>
      </c>
      <c r="G1401" s="19" t="s">
        <v>135</v>
      </c>
      <c r="H1401" s="22" t="s">
        <v>155</v>
      </c>
      <c r="I1401" s="25" t="s">
        <v>4030</v>
      </c>
      <c r="J1401" s="19"/>
      <c r="K1401" s="19" t="s">
        <v>74</v>
      </c>
      <c r="L1401" s="22" t="s">
        <v>723</v>
      </c>
      <c r="M1401" s="26"/>
      <c r="N1401" s="26"/>
      <c r="O1401" s="26"/>
      <c r="P1401" s="26"/>
      <c r="Q1401" s="26"/>
    </row>
    <row r="1402" ht="15.75" hidden="1" customHeight="1">
      <c r="A1402" s="31" t="s">
        <v>39</v>
      </c>
      <c r="B1402" s="9" t="s">
        <v>4015</v>
      </c>
      <c r="C1402" s="19" t="s">
        <v>4032</v>
      </c>
      <c r="D1402" s="22" t="s">
        <v>931</v>
      </c>
      <c r="E1402" s="19" t="s">
        <v>115</v>
      </c>
      <c r="F1402" s="19" t="s">
        <v>295</v>
      </c>
      <c r="G1402" s="19" t="s">
        <v>135</v>
      </c>
      <c r="H1402" s="22" t="s">
        <v>155</v>
      </c>
      <c r="I1402" s="25" t="s">
        <v>4033</v>
      </c>
      <c r="J1402" s="19"/>
      <c r="K1402" s="19" t="s">
        <v>74</v>
      </c>
      <c r="L1402" s="22" t="s">
        <v>723</v>
      </c>
      <c r="M1402" s="26"/>
      <c r="N1402" s="26"/>
      <c r="O1402" s="26"/>
      <c r="P1402" s="26"/>
      <c r="Q1402" s="26"/>
    </row>
    <row r="1403" ht="15.75" hidden="1" customHeight="1">
      <c r="A1403" s="31" t="s">
        <v>39</v>
      </c>
      <c r="B1403" s="9" t="s">
        <v>4034</v>
      </c>
      <c r="C1403" s="19" t="s">
        <v>4035</v>
      </c>
      <c r="D1403" s="22" t="s">
        <v>1362</v>
      </c>
      <c r="E1403" s="19" t="s">
        <v>109</v>
      </c>
      <c r="F1403" s="19" t="s">
        <v>3337</v>
      </c>
      <c r="G1403" s="19" t="s">
        <v>135</v>
      </c>
      <c r="H1403" s="22" t="s">
        <v>365</v>
      </c>
      <c r="I1403" s="25" t="s">
        <v>4036</v>
      </c>
      <c r="J1403" s="19" t="s">
        <v>635</v>
      </c>
      <c r="K1403" s="19" t="s">
        <v>13</v>
      </c>
      <c r="L1403" s="22"/>
      <c r="M1403" s="26"/>
      <c r="N1403" s="26"/>
      <c r="O1403" s="26"/>
      <c r="P1403" s="26"/>
      <c r="Q1403" s="26"/>
    </row>
    <row r="1404" ht="15.75" hidden="1" customHeight="1">
      <c r="A1404" s="31" t="s">
        <v>39</v>
      </c>
      <c r="B1404" s="9" t="s">
        <v>4034</v>
      </c>
      <c r="C1404" s="19" t="s">
        <v>4037</v>
      </c>
      <c r="D1404" s="22" t="s">
        <v>4038</v>
      </c>
      <c r="E1404" s="19" t="s">
        <v>109</v>
      </c>
      <c r="F1404" s="19" t="s">
        <v>2937</v>
      </c>
      <c r="G1404" s="19" t="s">
        <v>135</v>
      </c>
      <c r="H1404" s="22" t="s">
        <v>365</v>
      </c>
      <c r="I1404" s="25" t="s">
        <v>4039</v>
      </c>
      <c r="J1404" s="19" t="s">
        <v>490</v>
      </c>
      <c r="K1404" s="19" t="s">
        <v>94</v>
      </c>
      <c r="L1404" s="22" t="s">
        <v>4040</v>
      </c>
      <c r="M1404" s="26"/>
      <c r="N1404" s="26"/>
      <c r="O1404" s="26"/>
      <c r="P1404" s="26"/>
      <c r="Q1404" s="26"/>
    </row>
    <row r="1405" ht="15.75" hidden="1" customHeight="1">
      <c r="A1405" s="31" t="s">
        <v>39</v>
      </c>
      <c r="B1405" s="9" t="s">
        <v>4034</v>
      </c>
      <c r="C1405" s="19" t="s">
        <v>4041</v>
      </c>
      <c r="D1405" s="22" t="s">
        <v>4042</v>
      </c>
      <c r="E1405" s="19" t="s">
        <v>119</v>
      </c>
      <c r="F1405" s="19" t="s">
        <v>4043</v>
      </c>
      <c r="G1405" s="19" t="s">
        <v>135</v>
      </c>
      <c r="H1405" s="22" t="s">
        <v>155</v>
      </c>
      <c r="I1405" s="25" t="s">
        <v>4044</v>
      </c>
      <c r="J1405" s="19" t="s">
        <v>1371</v>
      </c>
      <c r="K1405" s="19" t="s">
        <v>78</v>
      </c>
      <c r="L1405" s="22" t="s">
        <v>723</v>
      </c>
      <c r="M1405" s="26"/>
      <c r="N1405" s="26"/>
      <c r="O1405" s="26"/>
      <c r="P1405" s="26"/>
      <c r="Q1405" s="26"/>
    </row>
    <row r="1406" ht="15.75" hidden="1" customHeight="1">
      <c r="A1406" s="31" t="s">
        <v>39</v>
      </c>
      <c r="B1406" s="9" t="s">
        <v>4034</v>
      </c>
      <c r="C1406" s="19" t="s">
        <v>3207</v>
      </c>
      <c r="D1406" s="22" t="s">
        <v>1362</v>
      </c>
      <c r="E1406" s="19" t="s">
        <v>109</v>
      </c>
      <c r="F1406" s="19" t="s">
        <v>631</v>
      </c>
      <c r="G1406" s="19" t="s">
        <v>142</v>
      </c>
      <c r="H1406" s="22" t="s">
        <v>365</v>
      </c>
      <c r="I1406" s="25" t="s">
        <v>3243</v>
      </c>
      <c r="J1406" s="19" t="s">
        <v>337</v>
      </c>
      <c r="K1406" s="19" t="s">
        <v>145</v>
      </c>
      <c r="L1406" s="22" t="s">
        <v>4045</v>
      </c>
      <c r="M1406" s="26"/>
      <c r="N1406" s="26"/>
      <c r="O1406" s="26"/>
      <c r="P1406" s="26"/>
      <c r="Q1406" s="26"/>
    </row>
    <row r="1407" ht="15.75" hidden="1" customHeight="1">
      <c r="A1407" s="31" t="s">
        <v>39</v>
      </c>
      <c r="B1407" s="9" t="s">
        <v>4034</v>
      </c>
      <c r="C1407" s="19" t="s">
        <v>4046</v>
      </c>
      <c r="D1407" s="22" t="s">
        <v>4047</v>
      </c>
      <c r="E1407" s="19" t="s">
        <v>109</v>
      </c>
      <c r="F1407" s="19" t="s">
        <v>1414</v>
      </c>
      <c r="G1407" s="19" t="s">
        <v>142</v>
      </c>
      <c r="H1407" s="22" t="s">
        <v>365</v>
      </c>
      <c r="I1407" s="25" t="s">
        <v>4048</v>
      </c>
      <c r="J1407" s="19" t="s">
        <v>1106</v>
      </c>
      <c r="K1407" s="19" t="s">
        <v>82</v>
      </c>
      <c r="L1407" s="22" t="s">
        <v>4049</v>
      </c>
      <c r="M1407" s="26"/>
      <c r="N1407" s="26"/>
      <c r="O1407" s="26"/>
      <c r="P1407" s="26"/>
      <c r="Q1407" s="26"/>
    </row>
    <row r="1408" ht="15.75" customHeight="1">
      <c r="A1408" s="31" t="s">
        <v>39</v>
      </c>
      <c r="B1408" s="9" t="s">
        <v>4034</v>
      </c>
      <c r="C1408" s="19" t="s">
        <v>2756</v>
      </c>
      <c r="D1408" s="22" t="s">
        <v>4050</v>
      </c>
      <c r="E1408" s="19" t="s">
        <v>121</v>
      </c>
      <c r="F1408" s="19" t="s">
        <v>103</v>
      </c>
      <c r="G1408" s="19" t="s">
        <v>90</v>
      </c>
      <c r="H1408" s="22" t="s">
        <v>365</v>
      </c>
      <c r="I1408" s="25" t="s">
        <v>4051</v>
      </c>
      <c r="J1408" s="19" t="s">
        <v>1445</v>
      </c>
      <c r="K1408" s="19" t="s">
        <v>82</v>
      </c>
      <c r="L1408" s="22"/>
      <c r="M1408" s="26"/>
      <c r="N1408" s="26"/>
      <c r="O1408" s="26"/>
      <c r="P1408" s="26"/>
      <c r="Q1408" s="26"/>
    </row>
    <row r="1409" ht="15.75" customHeight="1">
      <c r="A1409" s="31" t="s">
        <v>39</v>
      </c>
      <c r="B1409" s="9" t="s">
        <v>4034</v>
      </c>
      <c r="C1409" s="19" t="s">
        <v>4052</v>
      </c>
      <c r="D1409" s="22" t="s">
        <v>4053</v>
      </c>
      <c r="E1409" s="19" t="s">
        <v>116</v>
      </c>
      <c r="F1409" s="19" t="s">
        <v>3415</v>
      </c>
      <c r="G1409" s="19" t="s">
        <v>90</v>
      </c>
      <c r="H1409" s="32" t="s">
        <v>2956</v>
      </c>
      <c r="I1409" s="25" t="s">
        <v>4054</v>
      </c>
      <c r="J1409" s="19"/>
      <c r="K1409" s="19" t="s">
        <v>100</v>
      </c>
      <c r="L1409" s="22"/>
      <c r="M1409" s="26"/>
      <c r="N1409" s="26"/>
      <c r="O1409" s="26"/>
      <c r="P1409" s="26"/>
      <c r="Q1409" s="26"/>
    </row>
    <row r="1410" ht="15.75" hidden="1" customHeight="1">
      <c r="A1410" s="31" t="s">
        <v>39</v>
      </c>
      <c r="B1410" s="9" t="s">
        <v>4034</v>
      </c>
      <c r="C1410" s="19" t="s">
        <v>3814</v>
      </c>
      <c r="D1410" s="22" t="s">
        <v>3708</v>
      </c>
      <c r="E1410" s="19" t="s">
        <v>109</v>
      </c>
      <c r="F1410" s="19" t="s">
        <v>4055</v>
      </c>
      <c r="G1410" s="19" t="s">
        <v>135</v>
      </c>
      <c r="H1410" s="22" t="s">
        <v>365</v>
      </c>
      <c r="I1410" s="25" t="s">
        <v>3816</v>
      </c>
      <c r="J1410" s="19" t="s">
        <v>140</v>
      </c>
      <c r="K1410" s="19" t="s">
        <v>99</v>
      </c>
      <c r="L1410" s="22" t="s">
        <v>4056</v>
      </c>
      <c r="M1410" s="26"/>
      <c r="N1410" s="26"/>
      <c r="O1410" s="26"/>
      <c r="P1410" s="26"/>
      <c r="Q1410" s="26"/>
    </row>
    <row r="1411" ht="15.75" customHeight="1">
      <c r="A1411" s="31" t="s">
        <v>39</v>
      </c>
      <c r="B1411" s="9" t="s">
        <v>4034</v>
      </c>
      <c r="C1411" s="19" t="s">
        <v>2976</v>
      </c>
      <c r="D1411" s="22" t="s">
        <v>4057</v>
      </c>
      <c r="E1411" s="19" t="s">
        <v>129</v>
      </c>
      <c r="F1411" s="19" t="s">
        <v>3522</v>
      </c>
      <c r="G1411" s="19" t="s">
        <v>90</v>
      </c>
      <c r="H1411" s="22" t="s">
        <v>365</v>
      </c>
      <c r="I1411" s="25" t="s">
        <v>3519</v>
      </c>
      <c r="J1411" s="19"/>
      <c r="K1411" s="19" t="s">
        <v>117</v>
      </c>
      <c r="L1411" s="22" t="s">
        <v>4058</v>
      </c>
      <c r="M1411" s="26"/>
      <c r="N1411" s="26"/>
      <c r="O1411" s="26"/>
      <c r="P1411" s="26"/>
      <c r="Q1411" s="26"/>
    </row>
    <row r="1412" ht="15.75" hidden="1" customHeight="1">
      <c r="A1412" s="31" t="s">
        <v>39</v>
      </c>
      <c r="B1412" s="9" t="s">
        <v>4034</v>
      </c>
      <c r="C1412" s="19" t="s">
        <v>2906</v>
      </c>
      <c r="D1412" s="22" t="s">
        <v>4059</v>
      </c>
      <c r="E1412" s="19" t="s">
        <v>109</v>
      </c>
      <c r="F1412" s="19" t="s">
        <v>2908</v>
      </c>
      <c r="G1412" s="19" t="s">
        <v>142</v>
      </c>
      <c r="H1412" s="22" t="s">
        <v>365</v>
      </c>
      <c r="I1412" s="25" t="s">
        <v>4060</v>
      </c>
      <c r="J1412" s="19" t="s">
        <v>1211</v>
      </c>
      <c r="K1412" s="19" t="s">
        <v>82</v>
      </c>
      <c r="L1412" s="22" t="s">
        <v>4061</v>
      </c>
      <c r="M1412" s="26"/>
      <c r="N1412" s="26"/>
      <c r="O1412" s="26"/>
      <c r="P1412" s="26"/>
      <c r="Q1412" s="26"/>
    </row>
    <row r="1413" ht="15.75" hidden="1" customHeight="1">
      <c r="A1413" s="31" t="s">
        <v>39</v>
      </c>
      <c r="B1413" s="9" t="s">
        <v>4034</v>
      </c>
      <c r="C1413" s="19" t="s">
        <v>1552</v>
      </c>
      <c r="D1413" s="22" t="s">
        <v>656</v>
      </c>
      <c r="E1413" s="19" t="s">
        <v>109</v>
      </c>
      <c r="F1413" s="19" t="s">
        <v>1554</v>
      </c>
      <c r="G1413" s="19" t="s">
        <v>135</v>
      </c>
      <c r="H1413" s="22" t="s">
        <v>365</v>
      </c>
      <c r="I1413" s="25" t="s">
        <v>4062</v>
      </c>
      <c r="J1413" s="19"/>
      <c r="K1413" s="19" t="s">
        <v>117</v>
      </c>
      <c r="L1413" s="22" t="s">
        <v>4063</v>
      </c>
      <c r="M1413" s="26"/>
      <c r="N1413" s="26"/>
      <c r="O1413" s="26"/>
      <c r="P1413" s="26"/>
      <c r="Q1413" s="26"/>
    </row>
    <row r="1414" ht="15.75" hidden="1" customHeight="1">
      <c r="A1414" s="31" t="s">
        <v>39</v>
      </c>
      <c r="B1414" s="9" t="s">
        <v>4034</v>
      </c>
      <c r="C1414" s="19" t="s">
        <v>4064</v>
      </c>
      <c r="D1414" s="22" t="s">
        <v>3904</v>
      </c>
      <c r="E1414" s="19" t="s">
        <v>109</v>
      </c>
      <c r="F1414" s="19" t="s">
        <v>4065</v>
      </c>
      <c r="G1414" s="19" t="s">
        <v>135</v>
      </c>
      <c r="H1414" s="22" t="s">
        <v>365</v>
      </c>
      <c r="I1414" s="25" t="s">
        <v>4066</v>
      </c>
      <c r="J1414" s="19" t="s">
        <v>140</v>
      </c>
      <c r="K1414" s="19" t="s">
        <v>99</v>
      </c>
      <c r="L1414" s="22" t="s">
        <v>4067</v>
      </c>
      <c r="M1414" s="26"/>
      <c r="N1414" s="26"/>
      <c r="O1414" s="26"/>
      <c r="P1414" s="26"/>
      <c r="Q1414" s="26"/>
    </row>
    <row r="1415" ht="15.75" hidden="1" customHeight="1">
      <c r="A1415" s="31" t="s">
        <v>39</v>
      </c>
      <c r="B1415" s="9" t="s">
        <v>4034</v>
      </c>
      <c r="C1415" s="19" t="s">
        <v>2997</v>
      </c>
      <c r="D1415" s="22" t="s">
        <v>2415</v>
      </c>
      <c r="E1415" s="19" t="s">
        <v>119</v>
      </c>
      <c r="F1415" s="19" t="s">
        <v>868</v>
      </c>
      <c r="G1415" s="19" t="s">
        <v>135</v>
      </c>
      <c r="H1415" s="22" t="s">
        <v>155</v>
      </c>
      <c r="I1415" s="25" t="s">
        <v>4068</v>
      </c>
      <c r="J1415" s="19" t="s">
        <v>319</v>
      </c>
      <c r="K1415" s="19" t="s">
        <v>78</v>
      </c>
      <c r="L1415" s="22" t="s">
        <v>723</v>
      </c>
      <c r="M1415" s="26"/>
      <c r="N1415" s="26"/>
      <c r="O1415" s="26"/>
      <c r="P1415" s="26"/>
      <c r="Q1415" s="26"/>
    </row>
    <row r="1416" ht="15.75" hidden="1" customHeight="1">
      <c r="A1416" s="31" t="s">
        <v>39</v>
      </c>
      <c r="B1416" s="9" t="s">
        <v>4034</v>
      </c>
      <c r="C1416" s="19" t="s">
        <v>4069</v>
      </c>
      <c r="D1416" s="22" t="s">
        <v>4070</v>
      </c>
      <c r="E1416" s="19" t="s">
        <v>109</v>
      </c>
      <c r="F1416" s="19" t="s">
        <v>4071</v>
      </c>
      <c r="G1416" s="19" t="s">
        <v>135</v>
      </c>
      <c r="H1416" s="22" t="s">
        <v>365</v>
      </c>
      <c r="I1416" s="25" t="s">
        <v>4072</v>
      </c>
      <c r="J1416" s="19"/>
      <c r="K1416" s="19" t="s">
        <v>143</v>
      </c>
      <c r="L1416" s="22" t="s">
        <v>3593</v>
      </c>
      <c r="M1416" s="26"/>
      <c r="N1416" s="26"/>
      <c r="O1416" s="26"/>
      <c r="P1416" s="26"/>
      <c r="Q1416" s="26"/>
    </row>
    <row r="1417" ht="15.75" hidden="1" customHeight="1">
      <c r="A1417" s="31" t="s">
        <v>39</v>
      </c>
      <c r="B1417" s="9" t="s">
        <v>4034</v>
      </c>
      <c r="C1417" s="19" t="s">
        <v>4073</v>
      </c>
      <c r="D1417" s="22" t="s">
        <v>4074</v>
      </c>
      <c r="E1417" s="19" t="s">
        <v>109</v>
      </c>
      <c r="F1417" s="19" t="s">
        <v>868</v>
      </c>
      <c r="G1417" s="19" t="s">
        <v>135</v>
      </c>
      <c r="H1417" s="22" t="s">
        <v>365</v>
      </c>
      <c r="I1417" s="25" t="s">
        <v>4075</v>
      </c>
      <c r="J1417" s="19" t="s">
        <v>319</v>
      </c>
      <c r="K1417" s="19" t="s">
        <v>82</v>
      </c>
      <c r="L1417" s="22"/>
      <c r="M1417" s="26"/>
      <c r="N1417" s="26"/>
      <c r="O1417" s="26"/>
      <c r="P1417" s="26"/>
      <c r="Q1417" s="26"/>
    </row>
    <row r="1418" ht="15.75" hidden="1" customHeight="1">
      <c r="A1418" s="31" t="s">
        <v>39</v>
      </c>
      <c r="B1418" s="9" t="s">
        <v>4034</v>
      </c>
      <c r="C1418" s="19" t="s">
        <v>1158</v>
      </c>
      <c r="D1418" s="22" t="s">
        <v>4076</v>
      </c>
      <c r="E1418" s="19" t="s">
        <v>129</v>
      </c>
      <c r="F1418" s="19" t="s">
        <v>241</v>
      </c>
      <c r="G1418" s="19" t="s">
        <v>135</v>
      </c>
      <c r="H1418" s="24" t="s">
        <v>59</v>
      </c>
      <c r="I1418" s="25" t="s">
        <v>4077</v>
      </c>
      <c r="J1418" s="19"/>
      <c r="K1418" s="19" t="s">
        <v>171</v>
      </c>
      <c r="L1418" s="22" t="s">
        <v>4078</v>
      </c>
      <c r="M1418" s="26"/>
      <c r="N1418" s="26"/>
      <c r="O1418" s="26"/>
      <c r="P1418" s="26"/>
      <c r="Q1418" s="26"/>
    </row>
    <row r="1419" ht="15.75" hidden="1" customHeight="1">
      <c r="A1419" s="31" t="s">
        <v>39</v>
      </c>
      <c r="B1419" s="9" t="s">
        <v>4034</v>
      </c>
      <c r="C1419" s="19" t="s">
        <v>3224</v>
      </c>
      <c r="D1419" s="22" t="s">
        <v>4079</v>
      </c>
      <c r="E1419" s="19" t="s">
        <v>109</v>
      </c>
      <c r="F1419" s="19" t="s">
        <v>2201</v>
      </c>
      <c r="G1419" s="19" t="s">
        <v>135</v>
      </c>
      <c r="H1419" s="22" t="s">
        <v>365</v>
      </c>
      <c r="I1419" s="25" t="s">
        <v>4080</v>
      </c>
      <c r="J1419" s="19" t="s">
        <v>1314</v>
      </c>
      <c r="K1419" s="19" t="s">
        <v>82</v>
      </c>
      <c r="L1419" s="22"/>
      <c r="M1419" s="26"/>
      <c r="N1419" s="26"/>
      <c r="O1419" s="26"/>
      <c r="P1419" s="26"/>
      <c r="Q1419" s="26"/>
    </row>
    <row r="1420" ht="15.75" hidden="1" customHeight="1">
      <c r="A1420" s="31" t="s">
        <v>39</v>
      </c>
      <c r="B1420" s="9" t="s">
        <v>4034</v>
      </c>
      <c r="C1420" s="19" t="s">
        <v>4081</v>
      </c>
      <c r="D1420" s="22" t="s">
        <v>4082</v>
      </c>
      <c r="E1420" s="19" t="s">
        <v>109</v>
      </c>
      <c r="F1420" s="19" t="s">
        <v>4083</v>
      </c>
      <c r="G1420" s="19" t="s">
        <v>135</v>
      </c>
      <c r="H1420" s="22" t="s">
        <v>365</v>
      </c>
      <c r="I1420" s="25" t="s">
        <v>4084</v>
      </c>
      <c r="J1420" s="19" t="s">
        <v>140</v>
      </c>
      <c r="K1420" s="19" t="s">
        <v>13</v>
      </c>
      <c r="L1420" s="22"/>
      <c r="M1420" s="26"/>
      <c r="N1420" s="26"/>
      <c r="O1420" s="26"/>
      <c r="P1420" s="26"/>
      <c r="Q1420" s="26"/>
    </row>
    <row r="1421" ht="15.75" hidden="1" customHeight="1">
      <c r="A1421" s="31" t="s">
        <v>39</v>
      </c>
      <c r="B1421" s="9" t="s">
        <v>4034</v>
      </c>
      <c r="C1421" s="19" t="s">
        <v>4081</v>
      </c>
      <c r="D1421" s="22" t="s">
        <v>4085</v>
      </c>
      <c r="E1421" s="19" t="s">
        <v>109</v>
      </c>
      <c r="F1421" s="19" t="s">
        <v>3973</v>
      </c>
      <c r="G1421" s="19" t="s">
        <v>135</v>
      </c>
      <c r="H1421" s="22" t="s">
        <v>365</v>
      </c>
      <c r="I1421" s="25" t="s">
        <v>4086</v>
      </c>
      <c r="J1421" s="19"/>
      <c r="K1421" s="19" t="s">
        <v>99</v>
      </c>
      <c r="L1421" s="22" t="s">
        <v>539</v>
      </c>
      <c r="M1421" s="26"/>
      <c r="N1421" s="26"/>
      <c r="O1421" s="26"/>
      <c r="P1421" s="26"/>
      <c r="Q1421" s="26"/>
    </row>
    <row r="1422" ht="15.75" hidden="1" customHeight="1">
      <c r="A1422" s="31" t="s">
        <v>39</v>
      </c>
      <c r="B1422" s="9" t="s">
        <v>4034</v>
      </c>
      <c r="C1422" s="19" t="s">
        <v>3856</v>
      </c>
      <c r="D1422" s="22" t="s">
        <v>656</v>
      </c>
      <c r="E1422" s="19" t="s">
        <v>109</v>
      </c>
      <c r="F1422" s="19" t="s">
        <v>3288</v>
      </c>
      <c r="G1422" s="19" t="s">
        <v>135</v>
      </c>
      <c r="H1422" s="22" t="s">
        <v>365</v>
      </c>
      <c r="I1422" s="25" t="s">
        <v>3289</v>
      </c>
      <c r="J1422" s="19" t="s">
        <v>140</v>
      </c>
      <c r="K1422" s="19" t="s">
        <v>13</v>
      </c>
      <c r="L1422" s="22"/>
      <c r="M1422" s="26"/>
      <c r="N1422" s="26"/>
      <c r="O1422" s="26"/>
      <c r="P1422" s="26"/>
      <c r="Q1422" s="26"/>
    </row>
    <row r="1423" ht="15.75" customHeight="1">
      <c r="A1423" s="31" t="s">
        <v>39</v>
      </c>
      <c r="B1423" s="9" t="s">
        <v>4034</v>
      </c>
      <c r="C1423" s="19" t="s">
        <v>1218</v>
      </c>
      <c r="D1423" s="22" t="s">
        <v>4087</v>
      </c>
      <c r="E1423" s="19" t="s">
        <v>121</v>
      </c>
      <c r="F1423" s="19" t="s">
        <v>705</v>
      </c>
      <c r="G1423" s="19" t="s">
        <v>90</v>
      </c>
      <c r="H1423" s="22" t="s">
        <v>365</v>
      </c>
      <c r="I1423" s="25" t="s">
        <v>4088</v>
      </c>
      <c r="J1423" s="19" t="s">
        <v>1349</v>
      </c>
      <c r="K1423" s="19" t="s">
        <v>180</v>
      </c>
      <c r="L1423" s="22" t="s">
        <v>3754</v>
      </c>
      <c r="M1423" s="26"/>
      <c r="N1423" s="26"/>
      <c r="O1423" s="26"/>
      <c r="P1423" s="26"/>
      <c r="Q1423" s="26"/>
    </row>
    <row r="1424" ht="15.75" hidden="1" customHeight="1">
      <c r="A1424" s="31" t="s">
        <v>39</v>
      </c>
      <c r="B1424" s="9" t="s">
        <v>4034</v>
      </c>
      <c r="C1424" s="19" t="s">
        <v>1218</v>
      </c>
      <c r="D1424" s="22" t="s">
        <v>4089</v>
      </c>
      <c r="E1424" s="19" t="s">
        <v>109</v>
      </c>
      <c r="F1424" s="19" t="s">
        <v>705</v>
      </c>
      <c r="G1424" s="19" t="s">
        <v>135</v>
      </c>
      <c r="H1424" s="22" t="s">
        <v>365</v>
      </c>
      <c r="I1424" s="25" t="s">
        <v>4090</v>
      </c>
      <c r="J1424" s="19" t="s">
        <v>140</v>
      </c>
      <c r="K1424" s="19" t="s">
        <v>99</v>
      </c>
      <c r="L1424" s="22" t="s">
        <v>4067</v>
      </c>
      <c r="M1424" s="26"/>
      <c r="N1424" s="26"/>
      <c r="O1424" s="26"/>
      <c r="P1424" s="26"/>
      <c r="Q1424" s="26"/>
    </row>
    <row r="1425" ht="15.75" hidden="1" customHeight="1">
      <c r="A1425" s="31" t="s">
        <v>39</v>
      </c>
      <c r="B1425" s="9" t="s">
        <v>4034</v>
      </c>
      <c r="C1425" s="19" t="s">
        <v>1050</v>
      </c>
      <c r="D1425" s="22" t="s">
        <v>4091</v>
      </c>
      <c r="E1425" s="19" t="s">
        <v>121</v>
      </c>
      <c r="F1425" s="19" t="s">
        <v>868</v>
      </c>
      <c r="G1425" s="19" t="s">
        <v>135</v>
      </c>
      <c r="H1425" s="24" t="s">
        <v>59</v>
      </c>
      <c r="I1425" s="25" t="s">
        <v>4092</v>
      </c>
      <c r="J1425" s="19" t="s">
        <v>635</v>
      </c>
      <c r="K1425" s="19" t="s">
        <v>78</v>
      </c>
      <c r="L1425" s="22" t="s">
        <v>723</v>
      </c>
      <c r="M1425" s="26"/>
      <c r="N1425" s="26"/>
      <c r="O1425" s="26"/>
      <c r="P1425" s="26"/>
      <c r="Q1425" s="26"/>
    </row>
    <row r="1426" ht="15.75" hidden="1" customHeight="1">
      <c r="A1426" s="31" t="s">
        <v>39</v>
      </c>
      <c r="B1426" s="9" t="s">
        <v>4034</v>
      </c>
      <c r="C1426" s="19" t="s">
        <v>4093</v>
      </c>
      <c r="D1426" s="22" t="s">
        <v>4094</v>
      </c>
      <c r="E1426" s="19" t="s">
        <v>109</v>
      </c>
      <c r="F1426" s="19" t="s">
        <v>4095</v>
      </c>
      <c r="G1426" s="19" t="s">
        <v>142</v>
      </c>
      <c r="H1426" s="22" t="s">
        <v>365</v>
      </c>
      <c r="I1426" s="25" t="s">
        <v>4096</v>
      </c>
      <c r="J1426" s="19" t="s">
        <v>811</v>
      </c>
      <c r="K1426" s="19" t="s">
        <v>180</v>
      </c>
      <c r="L1426" s="22"/>
      <c r="M1426" s="26"/>
      <c r="N1426" s="26"/>
      <c r="O1426" s="26"/>
      <c r="P1426" s="26"/>
      <c r="Q1426" s="26"/>
    </row>
    <row r="1427" ht="15.75" hidden="1" customHeight="1">
      <c r="A1427" s="31" t="s">
        <v>39</v>
      </c>
      <c r="B1427" s="9" t="s">
        <v>4034</v>
      </c>
      <c r="C1427" s="19" t="s">
        <v>4097</v>
      </c>
      <c r="D1427" s="22" t="s">
        <v>656</v>
      </c>
      <c r="E1427" s="19" t="s">
        <v>109</v>
      </c>
      <c r="F1427" s="19" t="s">
        <v>824</v>
      </c>
      <c r="G1427" s="19" t="s">
        <v>135</v>
      </c>
      <c r="H1427" s="22" t="s">
        <v>365</v>
      </c>
      <c r="I1427" s="25" t="s">
        <v>4098</v>
      </c>
      <c r="J1427" s="19"/>
      <c r="K1427" s="19" t="s">
        <v>162</v>
      </c>
      <c r="L1427" s="22"/>
      <c r="M1427" s="26"/>
      <c r="N1427" s="26"/>
      <c r="O1427" s="26"/>
      <c r="P1427" s="26"/>
      <c r="Q1427" s="26"/>
    </row>
    <row r="1428" ht="15.75" hidden="1" customHeight="1">
      <c r="A1428" s="31" t="s">
        <v>39</v>
      </c>
      <c r="B1428" s="9" t="s">
        <v>4034</v>
      </c>
      <c r="C1428" s="19" t="s">
        <v>3642</v>
      </c>
      <c r="D1428" s="22" t="s">
        <v>4099</v>
      </c>
      <c r="E1428" s="19" t="s">
        <v>121</v>
      </c>
      <c r="F1428" s="19" t="s">
        <v>4100</v>
      </c>
      <c r="G1428" s="19" t="s">
        <v>146</v>
      </c>
      <c r="H1428" s="22" t="s">
        <v>365</v>
      </c>
      <c r="I1428" s="25" t="s">
        <v>4101</v>
      </c>
      <c r="J1428" s="19"/>
      <c r="K1428" s="19" t="s">
        <v>66</v>
      </c>
      <c r="L1428" s="22"/>
      <c r="M1428" s="26"/>
      <c r="N1428" s="26"/>
      <c r="O1428" s="26"/>
      <c r="P1428" s="26"/>
      <c r="Q1428" s="26"/>
    </row>
    <row r="1429" ht="15.75" hidden="1" customHeight="1">
      <c r="A1429" s="31" t="s">
        <v>39</v>
      </c>
      <c r="B1429" s="9" t="s">
        <v>4034</v>
      </c>
      <c r="C1429" s="19" t="s">
        <v>3874</v>
      </c>
      <c r="D1429" s="22" t="s">
        <v>3833</v>
      </c>
      <c r="E1429" s="19" t="s">
        <v>109</v>
      </c>
      <c r="F1429" s="19" t="s">
        <v>4102</v>
      </c>
      <c r="G1429" s="19" t="s">
        <v>135</v>
      </c>
      <c r="H1429" s="22" t="s">
        <v>365</v>
      </c>
      <c r="I1429" s="25" t="s">
        <v>4103</v>
      </c>
      <c r="J1429" s="19"/>
      <c r="K1429" s="19" t="s">
        <v>99</v>
      </c>
      <c r="L1429" s="22" t="s">
        <v>539</v>
      </c>
      <c r="M1429" s="26"/>
      <c r="N1429" s="26"/>
      <c r="O1429" s="26"/>
      <c r="P1429" s="26"/>
      <c r="Q1429" s="26"/>
    </row>
    <row r="1430" ht="15.75" hidden="1" customHeight="1">
      <c r="A1430" s="31" t="s">
        <v>39</v>
      </c>
      <c r="B1430" s="9" t="s">
        <v>4034</v>
      </c>
      <c r="C1430" s="19" t="s">
        <v>4104</v>
      </c>
      <c r="D1430" s="22" t="s">
        <v>2868</v>
      </c>
      <c r="E1430" s="19" t="s">
        <v>109</v>
      </c>
      <c r="F1430" s="19" t="s">
        <v>508</v>
      </c>
      <c r="G1430" s="19" t="s">
        <v>135</v>
      </c>
      <c r="H1430" s="22" t="s">
        <v>365</v>
      </c>
      <c r="I1430" s="25" t="s">
        <v>4105</v>
      </c>
      <c r="J1430" s="19"/>
      <c r="K1430" s="19" t="s">
        <v>13</v>
      </c>
      <c r="L1430" s="22"/>
      <c r="M1430" s="26"/>
      <c r="N1430" s="26"/>
      <c r="O1430" s="26"/>
      <c r="P1430" s="26"/>
      <c r="Q1430" s="26"/>
    </row>
    <row r="1431" ht="15.75" hidden="1" customHeight="1">
      <c r="A1431" s="31" t="s">
        <v>39</v>
      </c>
      <c r="B1431" s="9" t="s">
        <v>4034</v>
      </c>
      <c r="C1431" s="19" t="s">
        <v>4106</v>
      </c>
      <c r="D1431" s="22" t="s">
        <v>4107</v>
      </c>
      <c r="E1431" s="19" t="s">
        <v>109</v>
      </c>
      <c r="F1431" s="19" t="s">
        <v>2727</v>
      </c>
      <c r="G1431" s="19" t="s">
        <v>135</v>
      </c>
      <c r="H1431" s="22" t="s">
        <v>365</v>
      </c>
      <c r="I1431" s="25" t="s">
        <v>4108</v>
      </c>
      <c r="J1431" s="19" t="s">
        <v>811</v>
      </c>
      <c r="K1431" s="19" t="s">
        <v>82</v>
      </c>
      <c r="L1431" s="22"/>
      <c r="M1431" s="26"/>
      <c r="N1431" s="26"/>
      <c r="O1431" s="26"/>
      <c r="P1431" s="26"/>
      <c r="Q1431" s="26"/>
    </row>
    <row r="1432" ht="15.75" hidden="1" customHeight="1">
      <c r="A1432" s="31" t="s">
        <v>39</v>
      </c>
      <c r="B1432" s="9" t="s">
        <v>4034</v>
      </c>
      <c r="C1432" s="19" t="s">
        <v>4109</v>
      </c>
      <c r="D1432" s="22" t="s">
        <v>4110</v>
      </c>
      <c r="E1432" s="19" t="s">
        <v>109</v>
      </c>
      <c r="F1432" s="19" t="s">
        <v>4111</v>
      </c>
      <c r="G1432" s="19" t="s">
        <v>135</v>
      </c>
      <c r="H1432" s="22" t="s">
        <v>365</v>
      </c>
      <c r="I1432" s="25" t="s">
        <v>4112</v>
      </c>
      <c r="J1432" s="19"/>
      <c r="K1432" s="19" t="s">
        <v>117</v>
      </c>
      <c r="L1432" s="22"/>
      <c r="M1432" s="26"/>
      <c r="N1432" s="26"/>
      <c r="O1432" s="26"/>
      <c r="P1432" s="26"/>
      <c r="Q1432" s="26"/>
    </row>
    <row r="1433" ht="15.75" hidden="1" customHeight="1">
      <c r="A1433" s="31" t="s">
        <v>39</v>
      </c>
      <c r="B1433" s="9" t="s">
        <v>4034</v>
      </c>
      <c r="C1433" s="19" t="s">
        <v>3891</v>
      </c>
      <c r="D1433" s="22" t="s">
        <v>4113</v>
      </c>
      <c r="E1433" s="19" t="s">
        <v>109</v>
      </c>
      <c r="F1433" s="19" t="s">
        <v>631</v>
      </c>
      <c r="G1433" s="19" t="s">
        <v>135</v>
      </c>
      <c r="H1433" s="22" t="s">
        <v>365</v>
      </c>
      <c r="I1433" s="25" t="s">
        <v>4114</v>
      </c>
      <c r="J1433" s="19" t="s">
        <v>1371</v>
      </c>
      <c r="K1433" s="19" t="s">
        <v>82</v>
      </c>
      <c r="L1433" s="22"/>
      <c r="M1433" s="26"/>
      <c r="N1433" s="26"/>
      <c r="O1433" s="26"/>
      <c r="P1433" s="26"/>
      <c r="Q1433" s="26"/>
    </row>
    <row r="1434" ht="15.75" hidden="1" customHeight="1">
      <c r="A1434" s="31" t="s">
        <v>39</v>
      </c>
      <c r="B1434" s="9" t="s">
        <v>4034</v>
      </c>
      <c r="C1434" s="19" t="s">
        <v>2258</v>
      </c>
      <c r="D1434" s="22" t="s">
        <v>4115</v>
      </c>
      <c r="E1434" s="19" t="s">
        <v>109</v>
      </c>
      <c r="F1434" s="19" t="s">
        <v>631</v>
      </c>
      <c r="G1434" s="19" t="s">
        <v>135</v>
      </c>
      <c r="H1434" s="22" t="s">
        <v>365</v>
      </c>
      <c r="I1434" s="25" t="s">
        <v>4116</v>
      </c>
      <c r="J1434" s="19"/>
      <c r="K1434" s="19" t="s">
        <v>99</v>
      </c>
      <c r="L1434" s="22" t="s">
        <v>688</v>
      </c>
      <c r="M1434" s="26"/>
      <c r="N1434" s="26"/>
      <c r="O1434" s="26"/>
      <c r="P1434" s="26"/>
      <c r="Q1434" s="26"/>
    </row>
    <row r="1435" ht="15.75" hidden="1" customHeight="1">
      <c r="A1435" s="31" t="s">
        <v>39</v>
      </c>
      <c r="B1435" s="9" t="s">
        <v>4034</v>
      </c>
      <c r="C1435" s="19" t="s">
        <v>2258</v>
      </c>
      <c r="D1435" s="22" t="s">
        <v>4117</v>
      </c>
      <c r="E1435" s="19" t="s">
        <v>109</v>
      </c>
      <c r="F1435" s="19" t="s">
        <v>631</v>
      </c>
      <c r="G1435" s="19" t="s">
        <v>135</v>
      </c>
      <c r="H1435" s="22" t="s">
        <v>365</v>
      </c>
      <c r="I1435" s="25" t="s">
        <v>4118</v>
      </c>
      <c r="J1435" s="19"/>
      <c r="K1435" s="19" t="s">
        <v>99</v>
      </c>
      <c r="L1435" s="22" t="s">
        <v>2619</v>
      </c>
      <c r="M1435" s="26"/>
      <c r="N1435" s="26"/>
      <c r="O1435" s="26"/>
      <c r="P1435" s="26"/>
      <c r="Q1435" s="26"/>
    </row>
    <row r="1436" ht="15.75" hidden="1" customHeight="1">
      <c r="A1436" s="31" t="s">
        <v>39</v>
      </c>
      <c r="B1436" s="9" t="s">
        <v>4034</v>
      </c>
      <c r="C1436" s="19" t="s">
        <v>194</v>
      </c>
      <c r="D1436" s="22" t="s">
        <v>4119</v>
      </c>
      <c r="E1436" s="19" t="s">
        <v>121</v>
      </c>
      <c r="F1436" s="19" t="s">
        <v>4120</v>
      </c>
      <c r="G1436" s="19" t="s">
        <v>135</v>
      </c>
      <c r="H1436" s="24" t="s">
        <v>59</v>
      </c>
      <c r="I1436" s="25" t="s">
        <v>4121</v>
      </c>
      <c r="J1436" s="19" t="s">
        <v>456</v>
      </c>
      <c r="K1436" s="19" t="s">
        <v>78</v>
      </c>
      <c r="L1436" s="22" t="s">
        <v>723</v>
      </c>
      <c r="M1436" s="26"/>
      <c r="N1436" s="26"/>
      <c r="O1436" s="26"/>
      <c r="P1436" s="26"/>
      <c r="Q1436" s="26"/>
    </row>
    <row r="1437" ht="15.75" hidden="1" customHeight="1">
      <c r="A1437" s="31" t="s">
        <v>39</v>
      </c>
      <c r="B1437" s="9" t="s">
        <v>4034</v>
      </c>
      <c r="C1437" s="19" t="s">
        <v>4122</v>
      </c>
      <c r="D1437" s="22" t="s">
        <v>4123</v>
      </c>
      <c r="E1437" s="19" t="s">
        <v>109</v>
      </c>
      <c r="F1437" s="19" t="s">
        <v>617</v>
      </c>
      <c r="G1437" s="19" t="s">
        <v>135</v>
      </c>
      <c r="H1437" s="22" t="s">
        <v>365</v>
      </c>
      <c r="I1437" s="25" t="s">
        <v>4124</v>
      </c>
      <c r="J1437" s="19"/>
      <c r="K1437" s="19" t="s">
        <v>137</v>
      </c>
      <c r="L1437" s="22" t="s">
        <v>4125</v>
      </c>
      <c r="M1437" s="26"/>
      <c r="N1437" s="26"/>
      <c r="O1437" s="26"/>
      <c r="P1437" s="26"/>
      <c r="Q1437" s="26"/>
    </row>
    <row r="1438" ht="15.75" hidden="1" customHeight="1">
      <c r="A1438" s="31" t="s">
        <v>39</v>
      </c>
      <c r="B1438" s="9" t="s">
        <v>4034</v>
      </c>
      <c r="C1438" s="19" t="s">
        <v>198</v>
      </c>
      <c r="D1438" s="22" t="s">
        <v>4126</v>
      </c>
      <c r="E1438" s="19" t="s">
        <v>121</v>
      </c>
      <c r="F1438" s="19" t="s">
        <v>868</v>
      </c>
      <c r="G1438" s="19" t="s">
        <v>135</v>
      </c>
      <c r="H1438" s="24" t="s">
        <v>59</v>
      </c>
      <c r="I1438" s="25" t="s">
        <v>4127</v>
      </c>
      <c r="J1438" s="19"/>
      <c r="K1438" s="19" t="s">
        <v>13</v>
      </c>
      <c r="L1438" s="22" t="s">
        <v>1786</v>
      </c>
      <c r="M1438" s="26"/>
      <c r="N1438" s="26"/>
      <c r="O1438" s="26"/>
      <c r="P1438" s="26"/>
      <c r="Q1438" s="26"/>
    </row>
    <row r="1439" ht="15.75" hidden="1" customHeight="1">
      <c r="A1439" s="31" t="s">
        <v>39</v>
      </c>
      <c r="B1439" s="9" t="s">
        <v>4034</v>
      </c>
      <c r="C1439" s="19" t="s">
        <v>4128</v>
      </c>
      <c r="D1439" s="22" t="s">
        <v>1362</v>
      </c>
      <c r="E1439" s="19" t="s">
        <v>109</v>
      </c>
      <c r="F1439" s="19" t="s">
        <v>241</v>
      </c>
      <c r="G1439" s="19" t="s">
        <v>135</v>
      </c>
      <c r="H1439" s="22" t="s">
        <v>365</v>
      </c>
      <c r="I1439" s="25" t="s">
        <v>4129</v>
      </c>
      <c r="J1439" s="19"/>
      <c r="K1439" s="19" t="s">
        <v>117</v>
      </c>
      <c r="L1439" s="22" t="s">
        <v>4130</v>
      </c>
      <c r="M1439" s="26"/>
      <c r="N1439" s="26"/>
      <c r="O1439" s="26"/>
      <c r="P1439" s="26"/>
      <c r="Q1439" s="26"/>
    </row>
    <row r="1440" ht="15.75" hidden="1" customHeight="1">
      <c r="A1440" s="31" t="s">
        <v>39</v>
      </c>
      <c r="B1440" s="9" t="s">
        <v>4034</v>
      </c>
      <c r="C1440" s="19" t="s">
        <v>4131</v>
      </c>
      <c r="D1440" s="22" t="s">
        <v>4132</v>
      </c>
      <c r="E1440" s="19" t="s">
        <v>109</v>
      </c>
      <c r="F1440" s="19" t="s">
        <v>4133</v>
      </c>
      <c r="G1440" s="19" t="s">
        <v>135</v>
      </c>
      <c r="H1440" s="22" t="s">
        <v>365</v>
      </c>
      <c r="I1440" s="25" t="s">
        <v>4134</v>
      </c>
      <c r="J1440" s="19" t="s">
        <v>157</v>
      </c>
      <c r="K1440" s="19" t="s">
        <v>152</v>
      </c>
      <c r="L1440" s="22" t="s">
        <v>1271</v>
      </c>
      <c r="M1440" s="26"/>
      <c r="N1440" s="26"/>
      <c r="O1440" s="26"/>
      <c r="P1440" s="26"/>
      <c r="Q1440" s="26"/>
    </row>
    <row r="1441" ht="15.75" hidden="1" customHeight="1">
      <c r="A1441" s="31" t="s">
        <v>39</v>
      </c>
      <c r="B1441" s="9" t="s">
        <v>4034</v>
      </c>
      <c r="C1441" s="19" t="s">
        <v>4135</v>
      </c>
      <c r="D1441" s="22" t="s">
        <v>2828</v>
      </c>
      <c r="E1441" s="19" t="s">
        <v>109</v>
      </c>
      <c r="F1441" s="19" t="s">
        <v>3284</v>
      </c>
      <c r="G1441" s="19" t="s">
        <v>135</v>
      </c>
      <c r="H1441" s="22" t="s">
        <v>365</v>
      </c>
      <c r="I1441" s="25" t="s">
        <v>4136</v>
      </c>
      <c r="J1441" s="19"/>
      <c r="K1441" s="19" t="s">
        <v>99</v>
      </c>
      <c r="L1441" s="22" t="s">
        <v>688</v>
      </c>
      <c r="M1441" s="26"/>
      <c r="N1441" s="26"/>
      <c r="O1441" s="26"/>
      <c r="P1441" s="26"/>
      <c r="Q1441" s="26"/>
    </row>
    <row r="1442" ht="15.75" hidden="1" customHeight="1">
      <c r="A1442" s="31" t="s">
        <v>39</v>
      </c>
      <c r="B1442" s="9" t="s">
        <v>4034</v>
      </c>
      <c r="C1442" s="19" t="s">
        <v>4137</v>
      </c>
      <c r="D1442" s="22" t="s">
        <v>4138</v>
      </c>
      <c r="E1442" s="19" t="s">
        <v>109</v>
      </c>
      <c r="F1442" s="19" t="s">
        <v>4139</v>
      </c>
      <c r="G1442" s="19" t="s">
        <v>135</v>
      </c>
      <c r="H1442" s="22" t="s">
        <v>365</v>
      </c>
      <c r="I1442" s="25" t="s">
        <v>4140</v>
      </c>
      <c r="J1442" s="19"/>
      <c r="K1442" s="19" t="s">
        <v>117</v>
      </c>
      <c r="L1442" s="22" t="s">
        <v>4141</v>
      </c>
      <c r="M1442" s="26"/>
      <c r="N1442" s="26"/>
      <c r="O1442" s="26"/>
      <c r="P1442" s="26"/>
      <c r="Q1442" s="26"/>
    </row>
    <row r="1443" ht="15.75" hidden="1" customHeight="1">
      <c r="A1443" s="31" t="s">
        <v>39</v>
      </c>
      <c r="B1443" s="9" t="s">
        <v>4034</v>
      </c>
      <c r="C1443" s="19" t="s">
        <v>4137</v>
      </c>
      <c r="D1443" s="22" t="s">
        <v>1350</v>
      </c>
      <c r="E1443" s="19" t="s">
        <v>109</v>
      </c>
      <c r="F1443" s="19" t="s">
        <v>3011</v>
      </c>
      <c r="G1443" s="19" t="s">
        <v>135</v>
      </c>
      <c r="H1443" s="22" t="s">
        <v>365</v>
      </c>
      <c r="I1443" s="25" t="s">
        <v>4142</v>
      </c>
      <c r="J1443" s="19"/>
      <c r="K1443" s="19" t="s">
        <v>137</v>
      </c>
      <c r="L1443" s="22" t="s">
        <v>4143</v>
      </c>
      <c r="M1443" s="26"/>
      <c r="N1443" s="26"/>
      <c r="O1443" s="26"/>
      <c r="P1443" s="26"/>
      <c r="Q1443" s="26"/>
    </row>
    <row r="1444" ht="15.75" hidden="1" customHeight="1">
      <c r="A1444" s="31" t="s">
        <v>39</v>
      </c>
      <c r="B1444" s="9" t="s">
        <v>4034</v>
      </c>
      <c r="C1444" s="19" t="s">
        <v>2138</v>
      </c>
      <c r="D1444" s="22" t="s">
        <v>4144</v>
      </c>
      <c r="E1444" s="19" t="s">
        <v>109</v>
      </c>
      <c r="F1444" s="19" t="s">
        <v>631</v>
      </c>
      <c r="G1444" s="19" t="s">
        <v>142</v>
      </c>
      <c r="H1444" s="22" t="s">
        <v>365</v>
      </c>
      <c r="I1444" s="25" t="s">
        <v>4145</v>
      </c>
      <c r="J1444" s="19" t="s">
        <v>811</v>
      </c>
      <c r="K1444" s="19" t="s">
        <v>82</v>
      </c>
      <c r="L1444" s="22" t="s">
        <v>4146</v>
      </c>
      <c r="M1444" s="26"/>
      <c r="N1444" s="26"/>
      <c r="O1444" s="26"/>
      <c r="P1444" s="26"/>
      <c r="Q1444" s="26"/>
    </row>
    <row r="1445" ht="15.75" hidden="1" customHeight="1">
      <c r="A1445" s="31" t="s">
        <v>39</v>
      </c>
      <c r="B1445" s="9" t="s">
        <v>4034</v>
      </c>
      <c r="C1445" s="19" t="s">
        <v>4147</v>
      </c>
      <c r="D1445" s="22" t="s">
        <v>1362</v>
      </c>
      <c r="E1445" s="19" t="s">
        <v>109</v>
      </c>
      <c r="F1445" s="19" t="s">
        <v>631</v>
      </c>
      <c r="G1445" s="19" t="s">
        <v>135</v>
      </c>
      <c r="H1445" s="22" t="s">
        <v>365</v>
      </c>
      <c r="I1445" s="25" t="s">
        <v>4148</v>
      </c>
      <c r="J1445" s="19"/>
      <c r="K1445" s="19" t="s">
        <v>137</v>
      </c>
      <c r="L1445" s="22"/>
      <c r="M1445" s="26"/>
      <c r="N1445" s="26"/>
      <c r="O1445" s="26"/>
      <c r="P1445" s="26"/>
      <c r="Q1445" s="26"/>
    </row>
    <row r="1446" ht="15.75" hidden="1" customHeight="1">
      <c r="A1446" s="31" t="s">
        <v>39</v>
      </c>
      <c r="B1446" s="9" t="s">
        <v>4034</v>
      </c>
      <c r="C1446" s="19" t="s">
        <v>4149</v>
      </c>
      <c r="D1446" s="22" t="s">
        <v>4150</v>
      </c>
      <c r="E1446" s="19" t="s">
        <v>109</v>
      </c>
      <c r="F1446" s="19" t="s">
        <v>521</v>
      </c>
      <c r="G1446" s="19" t="s">
        <v>142</v>
      </c>
      <c r="H1446" s="22" t="s">
        <v>365</v>
      </c>
      <c r="I1446" s="25" t="s">
        <v>4151</v>
      </c>
      <c r="J1446" s="19" t="s">
        <v>627</v>
      </c>
      <c r="K1446" s="19" t="s">
        <v>82</v>
      </c>
      <c r="L1446" s="22" t="s">
        <v>4146</v>
      </c>
      <c r="M1446" s="26"/>
      <c r="N1446" s="26"/>
      <c r="O1446" s="26"/>
      <c r="P1446" s="26"/>
      <c r="Q1446" s="26"/>
    </row>
    <row r="1447" ht="15.75" hidden="1" customHeight="1">
      <c r="A1447" s="31" t="s">
        <v>39</v>
      </c>
      <c r="B1447" s="9" t="s">
        <v>4034</v>
      </c>
      <c r="C1447" s="19" t="s">
        <v>4149</v>
      </c>
      <c r="D1447" s="22" t="s">
        <v>4152</v>
      </c>
      <c r="E1447" s="19" t="s">
        <v>109</v>
      </c>
      <c r="F1447" s="19" t="s">
        <v>521</v>
      </c>
      <c r="G1447" s="19" t="s">
        <v>142</v>
      </c>
      <c r="H1447" s="22" t="s">
        <v>365</v>
      </c>
      <c r="I1447" s="25" t="s">
        <v>4153</v>
      </c>
      <c r="J1447" s="19" t="s">
        <v>627</v>
      </c>
      <c r="K1447" s="19" t="s">
        <v>156</v>
      </c>
      <c r="L1447" s="22" t="s">
        <v>4154</v>
      </c>
      <c r="M1447" s="26"/>
      <c r="N1447" s="26"/>
      <c r="O1447" s="26"/>
      <c r="P1447" s="26"/>
      <c r="Q1447" s="26"/>
    </row>
    <row r="1448" ht="15.75" hidden="1" customHeight="1">
      <c r="A1448" s="31" t="s">
        <v>39</v>
      </c>
      <c r="B1448" s="9" t="s">
        <v>4034</v>
      </c>
      <c r="C1448" s="19" t="s">
        <v>4155</v>
      </c>
      <c r="D1448" s="22" t="s">
        <v>3900</v>
      </c>
      <c r="E1448" s="19" t="s">
        <v>109</v>
      </c>
      <c r="F1448" s="19" t="s">
        <v>4156</v>
      </c>
      <c r="G1448" s="19" t="s">
        <v>135</v>
      </c>
      <c r="H1448" s="22" t="s">
        <v>365</v>
      </c>
      <c r="I1448" s="25" t="s">
        <v>4157</v>
      </c>
      <c r="J1448" s="19"/>
      <c r="K1448" s="19" t="s">
        <v>99</v>
      </c>
      <c r="L1448" s="22" t="s">
        <v>2619</v>
      </c>
      <c r="M1448" s="26"/>
      <c r="N1448" s="26"/>
      <c r="O1448" s="26"/>
      <c r="P1448" s="26"/>
      <c r="Q1448" s="26"/>
    </row>
    <row r="1449" ht="15.75" hidden="1" customHeight="1">
      <c r="A1449" s="31" t="s">
        <v>39</v>
      </c>
      <c r="B1449" s="9" t="s">
        <v>4034</v>
      </c>
      <c r="C1449" s="19" t="s">
        <v>2575</v>
      </c>
      <c r="D1449" s="22" t="s">
        <v>4158</v>
      </c>
      <c r="E1449" s="19" t="s">
        <v>109</v>
      </c>
      <c r="F1449" s="19" t="s">
        <v>3415</v>
      </c>
      <c r="G1449" s="19" t="s">
        <v>142</v>
      </c>
      <c r="H1449" s="22" t="s">
        <v>365</v>
      </c>
      <c r="I1449" s="25" t="s">
        <v>3970</v>
      </c>
      <c r="J1449" s="19"/>
      <c r="K1449" s="19" t="s">
        <v>99</v>
      </c>
      <c r="L1449" s="22" t="s">
        <v>539</v>
      </c>
      <c r="M1449" s="26"/>
      <c r="N1449" s="26"/>
      <c r="O1449" s="26"/>
      <c r="P1449" s="26"/>
      <c r="Q1449" s="26"/>
    </row>
    <row r="1450" ht="15.75" hidden="1" customHeight="1">
      <c r="A1450" s="31" t="s">
        <v>39</v>
      </c>
      <c r="B1450" s="9" t="s">
        <v>4034</v>
      </c>
      <c r="C1450" s="19" t="s">
        <v>2575</v>
      </c>
      <c r="D1450" s="22" t="s">
        <v>4159</v>
      </c>
      <c r="E1450" s="19" t="s">
        <v>109</v>
      </c>
      <c r="F1450" s="19" t="s">
        <v>868</v>
      </c>
      <c r="G1450" s="19" t="s">
        <v>142</v>
      </c>
      <c r="H1450" s="22" t="s">
        <v>365</v>
      </c>
      <c r="I1450" s="25" t="s">
        <v>3970</v>
      </c>
      <c r="J1450" s="19"/>
      <c r="K1450" s="19" t="s">
        <v>99</v>
      </c>
      <c r="L1450" s="22" t="s">
        <v>539</v>
      </c>
      <c r="M1450" s="26"/>
      <c r="N1450" s="26"/>
      <c r="O1450" s="26"/>
      <c r="P1450" s="26"/>
      <c r="Q1450" s="26"/>
    </row>
    <row r="1451" ht="15.75" hidden="1" customHeight="1">
      <c r="A1451" s="31" t="s">
        <v>39</v>
      </c>
      <c r="B1451" s="9" t="s">
        <v>4034</v>
      </c>
      <c r="C1451" s="19" t="s">
        <v>4160</v>
      </c>
      <c r="D1451" s="22" t="s">
        <v>4161</v>
      </c>
      <c r="E1451" s="19" t="s">
        <v>109</v>
      </c>
      <c r="F1451" s="19" t="s">
        <v>2707</v>
      </c>
      <c r="G1451" s="19" t="s">
        <v>135</v>
      </c>
      <c r="H1451" s="22" t="s">
        <v>365</v>
      </c>
      <c r="I1451" s="25" t="s">
        <v>4162</v>
      </c>
      <c r="J1451" s="19" t="s">
        <v>1371</v>
      </c>
      <c r="K1451" s="19" t="s">
        <v>82</v>
      </c>
      <c r="L1451" s="22"/>
      <c r="M1451" s="26"/>
      <c r="N1451" s="26"/>
      <c r="O1451" s="26"/>
      <c r="P1451" s="26"/>
      <c r="Q1451" s="26"/>
    </row>
    <row r="1452" ht="15.75" hidden="1" customHeight="1">
      <c r="A1452" s="31" t="s">
        <v>39</v>
      </c>
      <c r="B1452" s="9" t="s">
        <v>4034</v>
      </c>
      <c r="C1452" s="19" t="s">
        <v>4163</v>
      </c>
      <c r="D1452" s="22" t="s">
        <v>3845</v>
      </c>
      <c r="E1452" s="19" t="s">
        <v>109</v>
      </c>
      <c r="F1452" s="19" t="s">
        <v>1439</v>
      </c>
      <c r="G1452" s="19" t="s">
        <v>135</v>
      </c>
      <c r="H1452" s="22" t="s">
        <v>365</v>
      </c>
      <c r="I1452" s="25" t="s">
        <v>4164</v>
      </c>
      <c r="J1452" s="19"/>
      <c r="K1452" s="19" t="s">
        <v>137</v>
      </c>
      <c r="L1452" s="22"/>
      <c r="M1452" s="26"/>
      <c r="N1452" s="26"/>
      <c r="O1452" s="26"/>
      <c r="P1452" s="26"/>
      <c r="Q1452" s="26"/>
    </row>
    <row r="1453" ht="15.75" hidden="1" customHeight="1">
      <c r="A1453" s="31" t="s">
        <v>39</v>
      </c>
      <c r="B1453" s="9" t="s">
        <v>4034</v>
      </c>
      <c r="C1453" s="19" t="s">
        <v>4165</v>
      </c>
      <c r="D1453" s="22" t="s">
        <v>4166</v>
      </c>
      <c r="E1453" s="19" t="s">
        <v>119</v>
      </c>
      <c r="F1453" s="19" t="s">
        <v>868</v>
      </c>
      <c r="G1453" s="19" t="s">
        <v>135</v>
      </c>
      <c r="H1453" s="22" t="s">
        <v>155</v>
      </c>
      <c r="I1453" s="25" t="s">
        <v>4167</v>
      </c>
      <c r="J1453" s="19" t="s">
        <v>140</v>
      </c>
      <c r="K1453" s="19" t="s">
        <v>78</v>
      </c>
      <c r="L1453" s="22" t="s">
        <v>723</v>
      </c>
      <c r="M1453" s="26"/>
      <c r="N1453" s="26"/>
      <c r="O1453" s="26"/>
      <c r="P1453" s="26"/>
      <c r="Q1453" s="26"/>
    </row>
    <row r="1454" ht="15.75" hidden="1" customHeight="1">
      <c r="A1454" s="31" t="s">
        <v>39</v>
      </c>
      <c r="B1454" s="9" t="s">
        <v>4034</v>
      </c>
      <c r="C1454" s="19" t="s">
        <v>3290</v>
      </c>
      <c r="D1454" s="22" t="s">
        <v>4168</v>
      </c>
      <c r="E1454" s="19" t="s">
        <v>109</v>
      </c>
      <c r="F1454" s="19" t="s">
        <v>1220</v>
      </c>
      <c r="G1454" s="19" t="s">
        <v>135</v>
      </c>
      <c r="H1454" s="22" t="s">
        <v>365</v>
      </c>
      <c r="I1454" s="25" t="s">
        <v>4169</v>
      </c>
      <c r="J1454" s="19" t="s">
        <v>95</v>
      </c>
      <c r="K1454" s="19" t="s">
        <v>82</v>
      </c>
      <c r="L1454" s="22"/>
      <c r="M1454" s="26"/>
      <c r="N1454" s="26"/>
      <c r="O1454" s="26"/>
      <c r="P1454" s="26"/>
      <c r="Q1454" s="26"/>
    </row>
    <row r="1455" ht="15.75" hidden="1" customHeight="1">
      <c r="A1455" s="31" t="s">
        <v>39</v>
      </c>
      <c r="B1455" s="9" t="s">
        <v>4034</v>
      </c>
      <c r="C1455" s="19" t="s">
        <v>3290</v>
      </c>
      <c r="D1455" s="22" t="s">
        <v>4170</v>
      </c>
      <c r="E1455" s="19" t="s">
        <v>109</v>
      </c>
      <c r="F1455" s="19" t="s">
        <v>2713</v>
      </c>
      <c r="G1455" s="19" t="s">
        <v>135</v>
      </c>
      <c r="H1455" s="22" t="s">
        <v>365</v>
      </c>
      <c r="I1455" s="25" t="s">
        <v>4171</v>
      </c>
      <c r="J1455" s="19"/>
      <c r="K1455" s="19" t="s">
        <v>122</v>
      </c>
      <c r="L1455" s="22" t="s">
        <v>4172</v>
      </c>
      <c r="M1455" s="26"/>
      <c r="N1455" s="26"/>
      <c r="O1455" s="26"/>
      <c r="P1455" s="26"/>
      <c r="Q1455" s="26"/>
    </row>
    <row r="1456" ht="15.75" hidden="1" customHeight="1">
      <c r="A1456" s="31" t="s">
        <v>39</v>
      </c>
      <c r="B1456" s="9" t="s">
        <v>4034</v>
      </c>
      <c r="C1456" s="19" t="s">
        <v>4173</v>
      </c>
      <c r="D1456" s="22" t="s">
        <v>4174</v>
      </c>
      <c r="E1456" s="19" t="s">
        <v>109</v>
      </c>
      <c r="F1456" s="19" t="s">
        <v>2079</v>
      </c>
      <c r="G1456" s="19" t="s">
        <v>142</v>
      </c>
      <c r="H1456" s="22" t="s">
        <v>365</v>
      </c>
      <c r="I1456" s="25" t="s">
        <v>4175</v>
      </c>
      <c r="J1456" s="19" t="s">
        <v>337</v>
      </c>
      <c r="K1456" s="19" t="s">
        <v>145</v>
      </c>
      <c r="L1456" s="22"/>
      <c r="M1456" s="26"/>
      <c r="N1456" s="26"/>
      <c r="O1456" s="26"/>
      <c r="P1456" s="26"/>
      <c r="Q1456" s="26"/>
    </row>
    <row r="1457" ht="15.75" hidden="1" customHeight="1">
      <c r="A1457" s="31" t="s">
        <v>39</v>
      </c>
      <c r="B1457" s="9" t="s">
        <v>4034</v>
      </c>
      <c r="C1457" s="19" t="s">
        <v>3698</v>
      </c>
      <c r="D1457" s="22" t="s">
        <v>4176</v>
      </c>
      <c r="E1457" s="19" t="s">
        <v>109</v>
      </c>
      <c r="F1457" s="19" t="s">
        <v>2221</v>
      </c>
      <c r="G1457" s="19" t="s">
        <v>135</v>
      </c>
      <c r="H1457" s="22" t="s">
        <v>365</v>
      </c>
      <c r="I1457" s="25" t="s">
        <v>4177</v>
      </c>
      <c r="J1457" s="19" t="s">
        <v>811</v>
      </c>
      <c r="K1457" s="19" t="s">
        <v>82</v>
      </c>
      <c r="L1457" s="22"/>
      <c r="M1457" s="26"/>
      <c r="N1457" s="26"/>
      <c r="O1457" s="26"/>
      <c r="P1457" s="26"/>
      <c r="Q1457" s="26"/>
    </row>
    <row r="1458" ht="15.75" hidden="1" customHeight="1">
      <c r="A1458" s="31" t="s">
        <v>39</v>
      </c>
      <c r="B1458" s="9" t="s">
        <v>4034</v>
      </c>
      <c r="C1458" s="19" t="s">
        <v>2585</v>
      </c>
      <c r="D1458" s="22" t="s">
        <v>4138</v>
      </c>
      <c r="E1458" s="19" t="s">
        <v>109</v>
      </c>
      <c r="F1458" s="19" t="s">
        <v>2587</v>
      </c>
      <c r="G1458" s="19" t="s">
        <v>135</v>
      </c>
      <c r="H1458" s="22" t="s">
        <v>365</v>
      </c>
      <c r="I1458" s="25" t="s">
        <v>2588</v>
      </c>
      <c r="J1458" s="19"/>
      <c r="K1458" s="19" t="s">
        <v>13</v>
      </c>
      <c r="L1458" s="22"/>
      <c r="M1458" s="26"/>
      <c r="N1458" s="26"/>
      <c r="O1458" s="26"/>
      <c r="P1458" s="26"/>
      <c r="Q1458" s="26"/>
    </row>
    <row r="1459" ht="15.75" hidden="1" customHeight="1">
      <c r="A1459" s="31" t="s">
        <v>39</v>
      </c>
      <c r="B1459" s="9" t="s">
        <v>4034</v>
      </c>
      <c r="C1459" s="19" t="s">
        <v>2596</v>
      </c>
      <c r="D1459" s="22" t="s">
        <v>2767</v>
      </c>
      <c r="E1459" s="19" t="s">
        <v>109</v>
      </c>
      <c r="F1459" s="19" t="s">
        <v>631</v>
      </c>
      <c r="G1459" s="19" t="s">
        <v>142</v>
      </c>
      <c r="H1459" s="22" t="s">
        <v>365</v>
      </c>
      <c r="I1459" s="25" t="s">
        <v>2768</v>
      </c>
      <c r="J1459" s="19" t="s">
        <v>337</v>
      </c>
      <c r="K1459" s="19" t="s">
        <v>145</v>
      </c>
      <c r="L1459" s="22"/>
      <c r="M1459" s="26"/>
      <c r="N1459" s="26"/>
      <c r="O1459" s="26"/>
      <c r="P1459" s="26"/>
      <c r="Q1459" s="26"/>
    </row>
    <row r="1460" ht="15.75" hidden="1" customHeight="1">
      <c r="A1460" s="31" t="s">
        <v>39</v>
      </c>
      <c r="B1460" s="9" t="s">
        <v>4034</v>
      </c>
      <c r="C1460" s="19" t="s">
        <v>2596</v>
      </c>
      <c r="D1460" s="22" t="s">
        <v>4178</v>
      </c>
      <c r="E1460" s="19" t="s">
        <v>109</v>
      </c>
      <c r="F1460" s="19" t="s">
        <v>824</v>
      </c>
      <c r="G1460" s="19" t="s">
        <v>135</v>
      </c>
      <c r="H1460" s="22" t="s">
        <v>365</v>
      </c>
      <c r="I1460" s="25" t="s">
        <v>4179</v>
      </c>
      <c r="J1460" s="19"/>
      <c r="K1460" s="19" t="s">
        <v>162</v>
      </c>
      <c r="L1460" s="22" t="s">
        <v>4180</v>
      </c>
      <c r="M1460" s="26"/>
      <c r="N1460" s="26"/>
      <c r="O1460" s="26"/>
      <c r="P1460" s="26"/>
      <c r="Q1460" s="26"/>
    </row>
    <row r="1461" ht="15.75" hidden="1" customHeight="1">
      <c r="A1461" s="31" t="s">
        <v>39</v>
      </c>
      <c r="B1461" s="9" t="s">
        <v>4034</v>
      </c>
      <c r="C1461" s="19" t="s">
        <v>2596</v>
      </c>
      <c r="D1461" s="22" t="s">
        <v>4178</v>
      </c>
      <c r="E1461" s="19" t="s">
        <v>109</v>
      </c>
      <c r="F1461" s="19" t="s">
        <v>631</v>
      </c>
      <c r="G1461" s="19" t="s">
        <v>142</v>
      </c>
      <c r="H1461" s="22" t="s">
        <v>365</v>
      </c>
      <c r="I1461" s="25" t="s">
        <v>4181</v>
      </c>
      <c r="J1461" s="19" t="s">
        <v>1435</v>
      </c>
      <c r="K1461" s="19" t="s">
        <v>82</v>
      </c>
      <c r="L1461" s="22" t="s">
        <v>4182</v>
      </c>
      <c r="M1461" s="26"/>
      <c r="N1461" s="26"/>
      <c r="O1461" s="26"/>
      <c r="P1461" s="26"/>
      <c r="Q1461" s="26"/>
    </row>
    <row r="1462" ht="15.75" hidden="1" customHeight="1">
      <c r="A1462" s="31" t="s">
        <v>39</v>
      </c>
      <c r="B1462" s="9" t="s">
        <v>4034</v>
      </c>
      <c r="C1462" s="19" t="s">
        <v>2596</v>
      </c>
      <c r="D1462" s="22" t="s">
        <v>4183</v>
      </c>
      <c r="E1462" s="19" t="s">
        <v>109</v>
      </c>
      <c r="F1462" s="19" t="s">
        <v>631</v>
      </c>
      <c r="G1462" s="19" t="s">
        <v>142</v>
      </c>
      <c r="H1462" s="22" t="s">
        <v>365</v>
      </c>
      <c r="I1462" s="25" t="s">
        <v>2770</v>
      </c>
      <c r="J1462" s="19"/>
      <c r="K1462" s="19" t="s">
        <v>137</v>
      </c>
      <c r="L1462" s="22" t="s">
        <v>4180</v>
      </c>
      <c r="M1462" s="26"/>
      <c r="N1462" s="26"/>
      <c r="O1462" s="26"/>
      <c r="P1462" s="26"/>
      <c r="Q1462" s="26"/>
    </row>
    <row r="1463" ht="15.75" hidden="1" customHeight="1">
      <c r="A1463" s="31" t="s">
        <v>39</v>
      </c>
      <c r="B1463" s="9" t="s">
        <v>4034</v>
      </c>
      <c r="C1463" s="19" t="s">
        <v>3704</v>
      </c>
      <c r="D1463" s="22" t="s">
        <v>2387</v>
      </c>
      <c r="E1463" s="19" t="s">
        <v>109</v>
      </c>
      <c r="F1463" s="19" t="s">
        <v>4184</v>
      </c>
      <c r="G1463" s="19" t="s">
        <v>135</v>
      </c>
      <c r="H1463" s="22" t="s">
        <v>365</v>
      </c>
      <c r="I1463" s="25" t="s">
        <v>4185</v>
      </c>
      <c r="J1463" s="19"/>
      <c r="K1463" s="19" t="s">
        <v>99</v>
      </c>
      <c r="L1463" s="22" t="s">
        <v>539</v>
      </c>
      <c r="M1463" s="26"/>
      <c r="N1463" s="26"/>
      <c r="O1463" s="26"/>
      <c r="P1463" s="26"/>
      <c r="Q1463" s="26"/>
    </row>
    <row r="1464" ht="15.75" hidden="1" customHeight="1">
      <c r="A1464" s="31" t="s">
        <v>39</v>
      </c>
      <c r="B1464" s="9" t="s">
        <v>4034</v>
      </c>
      <c r="C1464" s="19" t="s">
        <v>3704</v>
      </c>
      <c r="D1464" s="22" t="s">
        <v>3811</v>
      </c>
      <c r="E1464" s="19" t="s">
        <v>109</v>
      </c>
      <c r="F1464" s="19" t="s">
        <v>4186</v>
      </c>
      <c r="G1464" s="19" t="s">
        <v>135</v>
      </c>
      <c r="H1464" s="22" t="s">
        <v>365</v>
      </c>
      <c r="I1464" s="25" t="s">
        <v>4187</v>
      </c>
      <c r="J1464" s="19"/>
      <c r="K1464" s="19" t="s">
        <v>99</v>
      </c>
      <c r="L1464" s="22" t="s">
        <v>539</v>
      </c>
      <c r="M1464" s="26"/>
      <c r="N1464" s="26"/>
      <c r="O1464" s="26"/>
      <c r="P1464" s="26"/>
      <c r="Q1464" s="26"/>
    </row>
    <row r="1465" ht="15.75" hidden="1" customHeight="1">
      <c r="A1465" s="31" t="s">
        <v>39</v>
      </c>
      <c r="B1465" s="9" t="s">
        <v>4034</v>
      </c>
      <c r="C1465" s="19" t="s">
        <v>3704</v>
      </c>
      <c r="D1465" s="22" t="s">
        <v>3815</v>
      </c>
      <c r="E1465" s="19" t="s">
        <v>109</v>
      </c>
      <c r="F1465" s="19" t="s">
        <v>4186</v>
      </c>
      <c r="G1465" s="19" t="s">
        <v>135</v>
      </c>
      <c r="H1465" s="22" t="s">
        <v>365</v>
      </c>
      <c r="I1465" s="25" t="s">
        <v>4187</v>
      </c>
      <c r="J1465" s="19"/>
      <c r="K1465" s="19" t="s">
        <v>13</v>
      </c>
      <c r="L1465" s="22"/>
      <c r="M1465" s="26"/>
      <c r="N1465" s="26"/>
      <c r="O1465" s="26"/>
      <c r="P1465" s="26"/>
      <c r="Q1465" s="26"/>
    </row>
    <row r="1466" ht="15.75" hidden="1" customHeight="1">
      <c r="A1466" s="31" t="s">
        <v>39</v>
      </c>
      <c r="B1466" s="9" t="s">
        <v>4034</v>
      </c>
      <c r="C1466" s="19" t="s">
        <v>2337</v>
      </c>
      <c r="D1466" s="22" t="s">
        <v>4188</v>
      </c>
      <c r="E1466" s="19" t="s">
        <v>109</v>
      </c>
      <c r="F1466" s="19" t="s">
        <v>4189</v>
      </c>
      <c r="G1466" s="19" t="s">
        <v>135</v>
      </c>
      <c r="H1466" s="22" t="s">
        <v>365</v>
      </c>
      <c r="I1466" s="25" t="s">
        <v>2339</v>
      </c>
      <c r="J1466" s="19" t="s">
        <v>140</v>
      </c>
      <c r="K1466" s="19" t="s">
        <v>13</v>
      </c>
      <c r="L1466" s="22"/>
      <c r="M1466" s="26"/>
      <c r="N1466" s="26"/>
      <c r="O1466" s="26"/>
      <c r="P1466" s="26"/>
      <c r="Q1466" s="26"/>
    </row>
    <row r="1467" ht="15.75" hidden="1" customHeight="1">
      <c r="A1467" s="31" t="s">
        <v>39</v>
      </c>
      <c r="B1467" s="9" t="s">
        <v>4034</v>
      </c>
      <c r="C1467" s="19" t="s">
        <v>2337</v>
      </c>
      <c r="D1467" s="22" t="s">
        <v>4188</v>
      </c>
      <c r="E1467" s="19" t="s">
        <v>109</v>
      </c>
      <c r="F1467" s="19" t="s">
        <v>508</v>
      </c>
      <c r="G1467" s="19" t="s">
        <v>135</v>
      </c>
      <c r="H1467" s="22" t="s">
        <v>365</v>
      </c>
      <c r="I1467" s="25" t="s">
        <v>2339</v>
      </c>
      <c r="J1467" s="19" t="s">
        <v>140</v>
      </c>
      <c r="K1467" s="19" t="s">
        <v>13</v>
      </c>
      <c r="L1467" s="22"/>
      <c r="M1467" s="26"/>
      <c r="N1467" s="26"/>
      <c r="O1467" s="26"/>
      <c r="P1467" s="26"/>
      <c r="Q1467" s="26"/>
    </row>
    <row r="1468" ht="15.75" hidden="1" customHeight="1">
      <c r="A1468" s="31" t="s">
        <v>39</v>
      </c>
      <c r="B1468" s="9" t="s">
        <v>4034</v>
      </c>
      <c r="C1468" s="19" t="s">
        <v>2337</v>
      </c>
      <c r="D1468" s="22" t="s">
        <v>3124</v>
      </c>
      <c r="E1468" s="19" t="s">
        <v>109</v>
      </c>
      <c r="F1468" s="19" t="s">
        <v>508</v>
      </c>
      <c r="G1468" s="19" t="s">
        <v>135</v>
      </c>
      <c r="H1468" s="22" t="s">
        <v>365</v>
      </c>
      <c r="I1468" s="25" t="s">
        <v>2339</v>
      </c>
      <c r="J1468" s="19" t="s">
        <v>140</v>
      </c>
      <c r="K1468" s="19" t="s">
        <v>13</v>
      </c>
      <c r="L1468" s="22"/>
      <c r="M1468" s="26"/>
      <c r="N1468" s="26"/>
      <c r="O1468" s="26"/>
      <c r="P1468" s="26"/>
      <c r="Q1468" s="26"/>
    </row>
    <row r="1469" ht="15.75" hidden="1" customHeight="1">
      <c r="A1469" s="31" t="s">
        <v>39</v>
      </c>
      <c r="B1469" s="9" t="s">
        <v>4034</v>
      </c>
      <c r="C1469" s="19" t="s">
        <v>187</v>
      </c>
      <c r="D1469" s="22" t="s">
        <v>1178</v>
      </c>
      <c r="E1469" s="19" t="s">
        <v>109</v>
      </c>
      <c r="F1469" s="19" t="s">
        <v>1160</v>
      </c>
      <c r="G1469" s="19" t="s">
        <v>142</v>
      </c>
      <c r="H1469" s="22" t="s">
        <v>365</v>
      </c>
      <c r="I1469" s="25" t="s">
        <v>1626</v>
      </c>
      <c r="J1469" s="19" t="s">
        <v>337</v>
      </c>
      <c r="K1469" s="19" t="s">
        <v>145</v>
      </c>
      <c r="L1469" s="22"/>
      <c r="M1469" s="26"/>
      <c r="N1469" s="26"/>
      <c r="O1469" s="26"/>
      <c r="P1469" s="26"/>
      <c r="Q1469" s="26"/>
    </row>
    <row r="1470" ht="15.75" hidden="1" customHeight="1">
      <c r="A1470" s="31" t="s">
        <v>39</v>
      </c>
      <c r="B1470" s="9" t="s">
        <v>4034</v>
      </c>
      <c r="C1470" s="19" t="s">
        <v>187</v>
      </c>
      <c r="D1470" s="22" t="s">
        <v>1178</v>
      </c>
      <c r="E1470" s="19" t="s">
        <v>109</v>
      </c>
      <c r="F1470" s="19" t="s">
        <v>868</v>
      </c>
      <c r="G1470" s="19" t="s">
        <v>142</v>
      </c>
      <c r="H1470" s="22" t="s">
        <v>365</v>
      </c>
      <c r="I1470" s="25" t="s">
        <v>950</v>
      </c>
      <c r="J1470" s="19" t="s">
        <v>337</v>
      </c>
      <c r="K1470" s="19" t="s">
        <v>145</v>
      </c>
      <c r="L1470" s="22"/>
      <c r="M1470" s="26"/>
      <c r="N1470" s="26"/>
      <c r="O1470" s="26"/>
      <c r="P1470" s="26"/>
      <c r="Q1470" s="26"/>
    </row>
    <row r="1471" ht="15.75" hidden="1" customHeight="1">
      <c r="A1471" s="31" t="s">
        <v>39</v>
      </c>
      <c r="B1471" s="9" t="s">
        <v>4034</v>
      </c>
      <c r="C1471" s="19" t="s">
        <v>187</v>
      </c>
      <c r="D1471" s="22" t="s">
        <v>656</v>
      </c>
      <c r="E1471" s="19" t="s">
        <v>109</v>
      </c>
      <c r="F1471" s="19" t="s">
        <v>1633</v>
      </c>
      <c r="G1471" s="19" t="s">
        <v>142</v>
      </c>
      <c r="H1471" s="22" t="s">
        <v>365</v>
      </c>
      <c r="I1471" s="25" t="s">
        <v>1634</v>
      </c>
      <c r="J1471" s="19" t="s">
        <v>337</v>
      </c>
      <c r="K1471" s="19" t="s">
        <v>145</v>
      </c>
      <c r="L1471" s="22"/>
      <c r="M1471" s="26"/>
      <c r="N1471" s="26"/>
      <c r="O1471" s="26"/>
      <c r="P1471" s="26"/>
      <c r="Q1471" s="26"/>
    </row>
    <row r="1472" ht="15.75" hidden="1" customHeight="1">
      <c r="A1472" s="31" t="s">
        <v>39</v>
      </c>
      <c r="B1472" s="9" t="s">
        <v>4034</v>
      </c>
      <c r="C1472" s="19" t="s">
        <v>187</v>
      </c>
      <c r="D1472" s="22" t="s">
        <v>1183</v>
      </c>
      <c r="E1472" s="19" t="s">
        <v>109</v>
      </c>
      <c r="F1472" s="19" t="s">
        <v>421</v>
      </c>
      <c r="G1472" s="19" t="s">
        <v>142</v>
      </c>
      <c r="H1472" s="22" t="s">
        <v>365</v>
      </c>
      <c r="I1472" s="25" t="s">
        <v>4190</v>
      </c>
      <c r="J1472" s="19" t="s">
        <v>337</v>
      </c>
      <c r="K1472" s="19" t="s">
        <v>145</v>
      </c>
      <c r="L1472" s="22" t="s">
        <v>3502</v>
      </c>
      <c r="M1472" s="26"/>
      <c r="N1472" s="26"/>
      <c r="O1472" s="26"/>
      <c r="P1472" s="26"/>
      <c r="Q1472" s="26"/>
    </row>
    <row r="1473" ht="15.75" hidden="1" customHeight="1">
      <c r="A1473" s="31" t="s">
        <v>39</v>
      </c>
      <c r="B1473" s="9" t="s">
        <v>4034</v>
      </c>
      <c r="C1473" s="19" t="s">
        <v>187</v>
      </c>
      <c r="D1473" s="22" t="s">
        <v>1186</v>
      </c>
      <c r="E1473" s="19" t="s">
        <v>109</v>
      </c>
      <c r="F1473" s="19" t="s">
        <v>421</v>
      </c>
      <c r="G1473" s="19" t="s">
        <v>142</v>
      </c>
      <c r="H1473" s="22" t="s">
        <v>365</v>
      </c>
      <c r="I1473" s="25" t="s">
        <v>1635</v>
      </c>
      <c r="J1473" s="19" t="s">
        <v>337</v>
      </c>
      <c r="K1473" s="19" t="s">
        <v>145</v>
      </c>
      <c r="L1473" s="22"/>
      <c r="M1473" s="26"/>
      <c r="N1473" s="26"/>
      <c r="O1473" s="26"/>
      <c r="P1473" s="26"/>
      <c r="Q1473" s="26"/>
    </row>
    <row r="1474" ht="15.75" hidden="1" customHeight="1">
      <c r="A1474" s="31" t="s">
        <v>39</v>
      </c>
      <c r="B1474" s="9" t="s">
        <v>4034</v>
      </c>
      <c r="C1474" s="19" t="s">
        <v>4191</v>
      </c>
      <c r="D1474" s="22" t="s">
        <v>4192</v>
      </c>
      <c r="E1474" s="19" t="s">
        <v>109</v>
      </c>
      <c r="F1474" s="19" t="s">
        <v>4193</v>
      </c>
      <c r="G1474" s="19" t="s">
        <v>135</v>
      </c>
      <c r="H1474" s="22" t="s">
        <v>365</v>
      </c>
      <c r="I1474" s="25" t="s">
        <v>4194</v>
      </c>
      <c r="J1474" s="19"/>
      <c r="K1474" s="19" t="s">
        <v>99</v>
      </c>
      <c r="L1474" s="22" t="s">
        <v>4195</v>
      </c>
      <c r="M1474" s="26"/>
      <c r="N1474" s="26"/>
      <c r="O1474" s="26"/>
      <c r="P1474" s="26"/>
      <c r="Q1474" s="26"/>
    </row>
    <row r="1475" ht="15.75" hidden="1" customHeight="1">
      <c r="A1475" s="31" t="s">
        <v>39</v>
      </c>
      <c r="B1475" s="9" t="s">
        <v>4034</v>
      </c>
      <c r="C1475" s="19" t="s">
        <v>4196</v>
      </c>
      <c r="D1475" s="22" t="s">
        <v>4197</v>
      </c>
      <c r="E1475" s="19" t="s">
        <v>109</v>
      </c>
      <c r="F1475" s="19" t="s">
        <v>1220</v>
      </c>
      <c r="G1475" s="19" t="s">
        <v>135</v>
      </c>
      <c r="H1475" s="22" t="s">
        <v>365</v>
      </c>
      <c r="I1475" s="25" t="s">
        <v>4198</v>
      </c>
      <c r="J1475" s="19" t="s">
        <v>1349</v>
      </c>
      <c r="K1475" s="19" t="s">
        <v>180</v>
      </c>
      <c r="L1475" s="22"/>
      <c r="M1475" s="26"/>
      <c r="N1475" s="26"/>
      <c r="O1475" s="26"/>
      <c r="P1475" s="26"/>
      <c r="Q1475" s="26"/>
    </row>
    <row r="1476" ht="15.75" customHeight="1">
      <c r="A1476" s="31" t="s">
        <v>39</v>
      </c>
      <c r="B1476" s="9" t="s">
        <v>4034</v>
      </c>
      <c r="C1476" s="19" t="s">
        <v>2624</v>
      </c>
      <c r="D1476" s="22" t="s">
        <v>4199</v>
      </c>
      <c r="E1476" s="19" t="s">
        <v>129</v>
      </c>
      <c r="F1476" s="19" t="s">
        <v>2626</v>
      </c>
      <c r="G1476" s="19" t="s">
        <v>90</v>
      </c>
      <c r="H1476" s="22" t="s">
        <v>365</v>
      </c>
      <c r="I1476" s="25" t="s">
        <v>2627</v>
      </c>
      <c r="J1476" s="19" t="s">
        <v>95</v>
      </c>
      <c r="K1476" s="19" t="s">
        <v>207</v>
      </c>
      <c r="L1476" s="22"/>
      <c r="M1476" s="26"/>
      <c r="N1476" s="26"/>
      <c r="O1476" s="26"/>
      <c r="P1476" s="26"/>
      <c r="Q1476" s="26"/>
    </row>
    <row r="1477" ht="15.75" hidden="1" customHeight="1">
      <c r="A1477" s="31" t="s">
        <v>39</v>
      </c>
      <c r="B1477" s="9" t="s">
        <v>4034</v>
      </c>
      <c r="C1477" s="19" t="s">
        <v>4200</v>
      </c>
      <c r="D1477" s="22" t="s">
        <v>4201</v>
      </c>
      <c r="E1477" s="19" t="s">
        <v>121</v>
      </c>
      <c r="F1477" s="19" t="s">
        <v>335</v>
      </c>
      <c r="G1477" s="19" t="s">
        <v>57</v>
      </c>
      <c r="H1477" s="22" t="s">
        <v>365</v>
      </c>
      <c r="I1477" s="25" t="s">
        <v>4202</v>
      </c>
      <c r="J1477" s="19" t="s">
        <v>2168</v>
      </c>
      <c r="K1477" s="19" t="s">
        <v>94</v>
      </c>
      <c r="L1477" s="22" t="s">
        <v>4203</v>
      </c>
      <c r="M1477" s="26"/>
      <c r="N1477" s="26"/>
      <c r="O1477" s="26"/>
      <c r="P1477" s="26"/>
      <c r="Q1477" s="26"/>
    </row>
    <row r="1478" ht="15.75" hidden="1" customHeight="1">
      <c r="A1478" s="31" t="s">
        <v>39</v>
      </c>
      <c r="B1478" s="9" t="s">
        <v>4034</v>
      </c>
      <c r="C1478" s="19" t="s">
        <v>2628</v>
      </c>
      <c r="D1478" s="22" t="s">
        <v>656</v>
      </c>
      <c r="E1478" s="19" t="s">
        <v>109</v>
      </c>
      <c r="F1478" s="19" t="s">
        <v>631</v>
      </c>
      <c r="G1478" s="19" t="s">
        <v>142</v>
      </c>
      <c r="H1478" s="22" t="s">
        <v>365</v>
      </c>
      <c r="I1478" s="25" t="s">
        <v>3307</v>
      </c>
      <c r="J1478" s="19" t="s">
        <v>337</v>
      </c>
      <c r="K1478" s="19" t="s">
        <v>145</v>
      </c>
      <c r="L1478" s="22"/>
      <c r="M1478" s="26"/>
      <c r="N1478" s="26"/>
      <c r="O1478" s="26"/>
      <c r="P1478" s="26"/>
      <c r="Q1478" s="26"/>
    </row>
    <row r="1479" ht="15.75" hidden="1" customHeight="1">
      <c r="A1479" s="31" t="s">
        <v>39</v>
      </c>
      <c r="B1479" s="9" t="s">
        <v>4034</v>
      </c>
      <c r="C1479" s="19" t="s">
        <v>2825</v>
      </c>
      <c r="D1479" s="22" t="s">
        <v>4204</v>
      </c>
      <c r="E1479" s="19" t="s">
        <v>109</v>
      </c>
      <c r="F1479" s="19" t="s">
        <v>824</v>
      </c>
      <c r="G1479" s="19" t="s">
        <v>135</v>
      </c>
      <c r="H1479" s="22" t="s">
        <v>365</v>
      </c>
      <c r="I1479" s="25" t="s">
        <v>4205</v>
      </c>
      <c r="J1479" s="19"/>
      <c r="K1479" s="19" t="s">
        <v>162</v>
      </c>
      <c r="L1479" s="22"/>
      <c r="M1479" s="26"/>
      <c r="N1479" s="26"/>
      <c r="O1479" s="26"/>
      <c r="P1479" s="26"/>
      <c r="Q1479" s="26"/>
    </row>
    <row r="1480" ht="15.75" hidden="1" customHeight="1">
      <c r="A1480" s="31" t="s">
        <v>39</v>
      </c>
      <c r="B1480" s="9" t="s">
        <v>4034</v>
      </c>
      <c r="C1480" s="19" t="s">
        <v>4206</v>
      </c>
      <c r="D1480" s="22" t="s">
        <v>656</v>
      </c>
      <c r="E1480" s="19" t="s">
        <v>109</v>
      </c>
      <c r="F1480" s="19" t="s">
        <v>824</v>
      </c>
      <c r="G1480" s="19" t="s">
        <v>135</v>
      </c>
      <c r="H1480" s="22" t="s">
        <v>365</v>
      </c>
      <c r="I1480" s="25" t="s">
        <v>4207</v>
      </c>
      <c r="J1480" s="19"/>
      <c r="K1480" s="19" t="s">
        <v>162</v>
      </c>
      <c r="L1480" s="22"/>
      <c r="M1480" s="26"/>
      <c r="N1480" s="26"/>
      <c r="O1480" s="26"/>
      <c r="P1480" s="26"/>
      <c r="Q1480" s="26"/>
    </row>
    <row r="1481" ht="15.75" hidden="1" customHeight="1">
      <c r="A1481" s="31" t="s">
        <v>39</v>
      </c>
      <c r="B1481" s="9" t="s">
        <v>4034</v>
      </c>
      <c r="C1481" s="19" t="s">
        <v>4208</v>
      </c>
      <c r="D1481" s="22" t="s">
        <v>3708</v>
      </c>
      <c r="E1481" s="19" t="s">
        <v>109</v>
      </c>
      <c r="F1481" s="19" t="s">
        <v>1220</v>
      </c>
      <c r="G1481" s="19" t="s">
        <v>135</v>
      </c>
      <c r="H1481" s="22" t="s">
        <v>365</v>
      </c>
      <c r="I1481" s="25" t="s">
        <v>4209</v>
      </c>
      <c r="J1481" s="19"/>
      <c r="K1481" s="19" t="s">
        <v>99</v>
      </c>
      <c r="L1481" s="22" t="s">
        <v>2412</v>
      </c>
      <c r="M1481" s="26"/>
      <c r="N1481" s="26"/>
      <c r="O1481" s="26"/>
      <c r="P1481" s="26"/>
      <c r="Q1481" s="26"/>
    </row>
    <row r="1482" ht="15.75" hidden="1" customHeight="1">
      <c r="A1482" s="31" t="s">
        <v>39</v>
      </c>
      <c r="B1482" s="9" t="s">
        <v>4034</v>
      </c>
      <c r="C1482" s="19" t="s">
        <v>4208</v>
      </c>
      <c r="D1482" s="22" t="s">
        <v>656</v>
      </c>
      <c r="E1482" s="19" t="s">
        <v>109</v>
      </c>
      <c r="F1482" s="19" t="s">
        <v>2919</v>
      </c>
      <c r="G1482" s="19" t="s">
        <v>135</v>
      </c>
      <c r="H1482" s="22" t="s">
        <v>365</v>
      </c>
      <c r="I1482" s="25" t="s">
        <v>4210</v>
      </c>
      <c r="J1482" s="19" t="s">
        <v>1445</v>
      </c>
      <c r="K1482" s="19" t="s">
        <v>82</v>
      </c>
      <c r="L1482" s="22"/>
      <c r="M1482" s="26"/>
      <c r="N1482" s="26"/>
      <c r="O1482" s="26"/>
      <c r="P1482" s="26"/>
      <c r="Q1482" s="26"/>
    </row>
    <row r="1483" ht="15.75" hidden="1" customHeight="1">
      <c r="A1483" s="31" t="s">
        <v>39</v>
      </c>
      <c r="B1483" s="9" t="s">
        <v>4034</v>
      </c>
      <c r="C1483" s="19" t="s">
        <v>4208</v>
      </c>
      <c r="D1483" s="22" t="s">
        <v>656</v>
      </c>
      <c r="E1483" s="19" t="s">
        <v>109</v>
      </c>
      <c r="F1483" s="19" t="s">
        <v>4211</v>
      </c>
      <c r="G1483" s="19" t="s">
        <v>135</v>
      </c>
      <c r="H1483" s="22" t="s">
        <v>365</v>
      </c>
      <c r="I1483" s="25" t="s">
        <v>4210</v>
      </c>
      <c r="J1483" s="19" t="s">
        <v>1435</v>
      </c>
      <c r="K1483" s="19" t="s">
        <v>82</v>
      </c>
      <c r="L1483" s="22"/>
      <c r="M1483" s="26"/>
      <c r="N1483" s="26"/>
      <c r="O1483" s="26"/>
      <c r="P1483" s="26"/>
      <c r="Q1483" s="26"/>
    </row>
    <row r="1484" ht="15.75" hidden="1" customHeight="1">
      <c r="A1484" s="31" t="s">
        <v>39</v>
      </c>
      <c r="B1484" s="9" t="s">
        <v>4034</v>
      </c>
      <c r="C1484" s="19" t="s">
        <v>4212</v>
      </c>
      <c r="D1484" s="22" t="s">
        <v>656</v>
      </c>
      <c r="E1484" s="19" t="s">
        <v>109</v>
      </c>
      <c r="F1484" s="19" t="s">
        <v>824</v>
      </c>
      <c r="G1484" s="19" t="s">
        <v>135</v>
      </c>
      <c r="H1484" s="22" t="s">
        <v>365</v>
      </c>
      <c r="I1484" s="25" t="s">
        <v>4213</v>
      </c>
      <c r="J1484" s="19"/>
      <c r="K1484" s="19" t="s">
        <v>162</v>
      </c>
      <c r="L1484" s="22"/>
      <c r="M1484" s="26"/>
      <c r="N1484" s="26"/>
      <c r="O1484" s="26"/>
      <c r="P1484" s="26"/>
      <c r="Q1484" s="26"/>
    </row>
    <row r="1485" ht="15.75" hidden="1" customHeight="1">
      <c r="A1485" s="31" t="s">
        <v>39</v>
      </c>
      <c r="B1485" s="9" t="s">
        <v>4034</v>
      </c>
      <c r="C1485" s="19" t="s">
        <v>4212</v>
      </c>
      <c r="D1485" s="22" t="s">
        <v>656</v>
      </c>
      <c r="E1485" s="19" t="s">
        <v>109</v>
      </c>
      <c r="F1485" s="19" t="s">
        <v>631</v>
      </c>
      <c r="G1485" s="19" t="s">
        <v>135</v>
      </c>
      <c r="H1485" s="22" t="s">
        <v>365</v>
      </c>
      <c r="I1485" s="25" t="s">
        <v>4214</v>
      </c>
      <c r="J1485" s="19"/>
      <c r="K1485" s="19" t="s">
        <v>137</v>
      </c>
      <c r="L1485" s="22"/>
      <c r="M1485" s="26"/>
      <c r="N1485" s="26"/>
      <c r="O1485" s="26"/>
      <c r="P1485" s="26"/>
      <c r="Q1485" s="26"/>
    </row>
    <row r="1486" ht="15.75" hidden="1" customHeight="1">
      <c r="A1486" s="31" t="s">
        <v>39</v>
      </c>
      <c r="B1486" s="9" t="s">
        <v>4034</v>
      </c>
      <c r="C1486" s="19" t="s">
        <v>4215</v>
      </c>
      <c r="D1486" s="22" t="s">
        <v>4216</v>
      </c>
      <c r="E1486" s="19" t="s">
        <v>109</v>
      </c>
      <c r="F1486" s="19" t="s">
        <v>631</v>
      </c>
      <c r="G1486" s="19" t="s">
        <v>142</v>
      </c>
      <c r="H1486" s="22" t="s">
        <v>365</v>
      </c>
      <c r="I1486" s="25" t="s">
        <v>4217</v>
      </c>
      <c r="J1486" s="19" t="s">
        <v>4218</v>
      </c>
      <c r="K1486" s="19" t="s">
        <v>145</v>
      </c>
      <c r="L1486" s="22" t="s">
        <v>4219</v>
      </c>
      <c r="M1486" s="26"/>
      <c r="N1486" s="26"/>
      <c r="O1486" s="26"/>
      <c r="P1486" s="26"/>
      <c r="Q1486" s="26"/>
    </row>
    <row r="1487" ht="15.75" hidden="1" customHeight="1">
      <c r="A1487" s="31" t="s">
        <v>39</v>
      </c>
      <c r="B1487" s="9" t="s">
        <v>4034</v>
      </c>
      <c r="C1487" s="19" t="s">
        <v>4220</v>
      </c>
      <c r="D1487" s="22" t="s">
        <v>4221</v>
      </c>
      <c r="E1487" s="19" t="s">
        <v>109</v>
      </c>
      <c r="F1487" s="19" t="s">
        <v>89</v>
      </c>
      <c r="G1487" s="19" t="s">
        <v>135</v>
      </c>
      <c r="H1487" s="22" t="s">
        <v>365</v>
      </c>
      <c r="I1487" s="25" t="s">
        <v>4222</v>
      </c>
      <c r="J1487" s="19" t="s">
        <v>635</v>
      </c>
      <c r="K1487" s="19" t="s">
        <v>82</v>
      </c>
      <c r="L1487" s="22"/>
      <c r="M1487" s="26"/>
      <c r="N1487" s="26"/>
      <c r="O1487" s="26"/>
      <c r="P1487" s="26"/>
      <c r="Q1487" s="26"/>
    </row>
    <row r="1488" ht="15.75" hidden="1" customHeight="1">
      <c r="A1488" s="31" t="s">
        <v>39</v>
      </c>
      <c r="B1488" s="9" t="s">
        <v>4034</v>
      </c>
      <c r="C1488" s="19" t="s">
        <v>4223</v>
      </c>
      <c r="D1488" s="22" t="s">
        <v>656</v>
      </c>
      <c r="E1488" s="19" t="s">
        <v>109</v>
      </c>
      <c r="F1488" s="19" t="s">
        <v>89</v>
      </c>
      <c r="G1488" s="19" t="s">
        <v>142</v>
      </c>
      <c r="H1488" s="22" t="s">
        <v>365</v>
      </c>
      <c r="I1488" s="25" t="s">
        <v>4224</v>
      </c>
      <c r="J1488" s="19" t="s">
        <v>635</v>
      </c>
      <c r="K1488" s="19" t="s">
        <v>145</v>
      </c>
      <c r="L1488" s="22" t="s">
        <v>4225</v>
      </c>
      <c r="M1488" s="26"/>
      <c r="N1488" s="26"/>
      <c r="O1488" s="26"/>
      <c r="P1488" s="26"/>
      <c r="Q1488" s="26"/>
    </row>
    <row r="1489" ht="15.75" hidden="1" customHeight="1">
      <c r="A1489" s="31" t="s">
        <v>39</v>
      </c>
      <c r="B1489" s="9" t="s">
        <v>4034</v>
      </c>
      <c r="C1489" s="19" t="s">
        <v>4226</v>
      </c>
      <c r="D1489" s="22" t="s">
        <v>4227</v>
      </c>
      <c r="E1489" s="19" t="s">
        <v>109</v>
      </c>
      <c r="F1489" s="19" t="s">
        <v>4228</v>
      </c>
      <c r="G1489" s="19" t="s">
        <v>142</v>
      </c>
      <c r="H1489" s="22" t="s">
        <v>365</v>
      </c>
      <c r="I1489" s="25" t="s">
        <v>4229</v>
      </c>
      <c r="J1489" s="19"/>
      <c r="K1489" s="19" t="s">
        <v>99</v>
      </c>
      <c r="L1489" s="22" t="s">
        <v>4172</v>
      </c>
      <c r="M1489" s="26"/>
      <c r="N1489" s="26"/>
      <c r="O1489" s="26"/>
      <c r="P1489" s="26"/>
      <c r="Q1489" s="26"/>
    </row>
    <row r="1490" ht="15.75" hidden="1" customHeight="1">
      <c r="A1490" s="31" t="s">
        <v>39</v>
      </c>
      <c r="B1490" s="9" t="s">
        <v>4034</v>
      </c>
      <c r="C1490" s="19" t="s">
        <v>4230</v>
      </c>
      <c r="D1490" s="22" t="s">
        <v>656</v>
      </c>
      <c r="E1490" s="19" t="s">
        <v>109</v>
      </c>
      <c r="F1490" s="19" t="s">
        <v>134</v>
      </c>
      <c r="G1490" s="19" t="s">
        <v>135</v>
      </c>
      <c r="H1490" s="22" t="s">
        <v>365</v>
      </c>
      <c r="I1490" s="25" t="s">
        <v>4231</v>
      </c>
      <c r="J1490" s="19" t="s">
        <v>157</v>
      </c>
      <c r="K1490" s="19" t="s">
        <v>152</v>
      </c>
      <c r="L1490" s="22" t="s">
        <v>1271</v>
      </c>
      <c r="M1490" s="26"/>
      <c r="N1490" s="26"/>
      <c r="O1490" s="26"/>
      <c r="P1490" s="26"/>
      <c r="Q1490" s="26"/>
    </row>
    <row r="1491" ht="15.75" hidden="1" customHeight="1">
      <c r="A1491" s="31" t="s">
        <v>39</v>
      </c>
      <c r="B1491" s="9" t="s">
        <v>4034</v>
      </c>
      <c r="C1491" s="19" t="s">
        <v>2646</v>
      </c>
      <c r="D1491" s="22" t="s">
        <v>4232</v>
      </c>
      <c r="E1491" s="19" t="s">
        <v>109</v>
      </c>
      <c r="F1491" s="19" t="s">
        <v>631</v>
      </c>
      <c r="G1491" s="19" t="s">
        <v>142</v>
      </c>
      <c r="H1491" s="22" t="s">
        <v>365</v>
      </c>
      <c r="I1491" s="25" t="s">
        <v>4233</v>
      </c>
      <c r="J1491" s="19" t="s">
        <v>337</v>
      </c>
      <c r="K1491" s="19" t="s">
        <v>145</v>
      </c>
      <c r="L1491" s="22"/>
      <c r="M1491" s="26"/>
      <c r="N1491" s="26"/>
      <c r="O1491" s="26"/>
      <c r="P1491" s="26"/>
      <c r="Q1491" s="26"/>
    </row>
    <row r="1492" ht="15.75" hidden="1" customHeight="1">
      <c r="A1492" s="31" t="s">
        <v>39</v>
      </c>
      <c r="B1492" s="9" t="s">
        <v>4034</v>
      </c>
      <c r="C1492" s="19" t="s">
        <v>1513</v>
      </c>
      <c r="D1492" s="22" t="s">
        <v>4234</v>
      </c>
      <c r="E1492" s="19" t="s">
        <v>109</v>
      </c>
      <c r="F1492" s="19" t="s">
        <v>1803</v>
      </c>
      <c r="G1492" s="19" t="s">
        <v>142</v>
      </c>
      <c r="H1492" s="22" t="s">
        <v>365</v>
      </c>
      <c r="I1492" s="25" t="s">
        <v>4235</v>
      </c>
      <c r="J1492" s="19" t="s">
        <v>782</v>
      </c>
      <c r="K1492" s="19" t="s">
        <v>82</v>
      </c>
      <c r="L1492" s="22" t="s">
        <v>4236</v>
      </c>
      <c r="M1492" s="26"/>
      <c r="N1492" s="26"/>
      <c r="O1492" s="26"/>
      <c r="P1492" s="26"/>
      <c r="Q1492" s="26"/>
    </row>
    <row r="1493" ht="15.75" hidden="1" customHeight="1">
      <c r="A1493" s="31" t="s">
        <v>39</v>
      </c>
      <c r="B1493" s="9" t="s">
        <v>4034</v>
      </c>
      <c r="C1493" s="19" t="s">
        <v>3503</v>
      </c>
      <c r="D1493" s="22" t="s">
        <v>4237</v>
      </c>
      <c r="E1493" s="19" t="s">
        <v>109</v>
      </c>
      <c r="F1493" s="19" t="s">
        <v>4238</v>
      </c>
      <c r="G1493" s="19" t="s">
        <v>142</v>
      </c>
      <c r="H1493" s="22" t="s">
        <v>365</v>
      </c>
      <c r="I1493" s="25" t="s">
        <v>3505</v>
      </c>
      <c r="J1493" s="19"/>
      <c r="K1493" s="19" t="s">
        <v>99</v>
      </c>
      <c r="L1493" s="22" t="s">
        <v>539</v>
      </c>
      <c r="M1493" s="26"/>
      <c r="N1493" s="26"/>
      <c r="O1493" s="26"/>
      <c r="P1493" s="26"/>
      <c r="Q1493" s="26"/>
    </row>
    <row r="1494" ht="15.75" hidden="1" customHeight="1">
      <c r="A1494" s="31" t="s">
        <v>39</v>
      </c>
      <c r="B1494" s="9" t="s">
        <v>4034</v>
      </c>
      <c r="C1494" s="19" t="s">
        <v>4239</v>
      </c>
      <c r="D1494" s="22" t="s">
        <v>656</v>
      </c>
      <c r="E1494" s="19" t="s">
        <v>109</v>
      </c>
      <c r="F1494" s="19" t="s">
        <v>3575</v>
      </c>
      <c r="G1494" s="19" t="s">
        <v>135</v>
      </c>
      <c r="H1494" s="22" t="s">
        <v>365</v>
      </c>
      <c r="I1494" s="25" t="s">
        <v>4240</v>
      </c>
      <c r="J1494" s="19" t="s">
        <v>1435</v>
      </c>
      <c r="K1494" s="19" t="s">
        <v>82</v>
      </c>
      <c r="L1494" s="22"/>
      <c r="M1494" s="26"/>
      <c r="N1494" s="26"/>
      <c r="O1494" s="26"/>
      <c r="P1494" s="26"/>
      <c r="Q1494" s="26"/>
    </row>
    <row r="1495" ht="15.75" hidden="1" customHeight="1">
      <c r="A1495" s="31" t="s">
        <v>39</v>
      </c>
      <c r="B1495" s="9" t="s">
        <v>4034</v>
      </c>
      <c r="C1495" s="19" t="s">
        <v>4241</v>
      </c>
      <c r="D1495" s="22" t="s">
        <v>1742</v>
      </c>
      <c r="E1495" s="19" t="s">
        <v>119</v>
      </c>
      <c r="F1495" s="19" t="s">
        <v>901</v>
      </c>
      <c r="G1495" s="19" t="s">
        <v>135</v>
      </c>
      <c r="H1495" s="22" t="s">
        <v>155</v>
      </c>
      <c r="I1495" s="25" t="s">
        <v>4242</v>
      </c>
      <c r="J1495" s="19"/>
      <c r="K1495" s="19" t="s">
        <v>78</v>
      </c>
      <c r="L1495" s="22" t="s">
        <v>723</v>
      </c>
      <c r="M1495" s="26"/>
      <c r="N1495" s="26"/>
      <c r="O1495" s="26"/>
      <c r="P1495" s="26"/>
      <c r="Q1495" s="26"/>
    </row>
    <row r="1496" ht="15.75" hidden="1" customHeight="1">
      <c r="A1496" s="31" t="s">
        <v>39</v>
      </c>
      <c r="B1496" s="9" t="s">
        <v>4034</v>
      </c>
      <c r="C1496" s="19" t="s">
        <v>4243</v>
      </c>
      <c r="D1496" s="22" t="s">
        <v>4244</v>
      </c>
      <c r="E1496" s="19" t="s">
        <v>109</v>
      </c>
      <c r="F1496" s="19" t="s">
        <v>134</v>
      </c>
      <c r="G1496" s="19" t="s">
        <v>135</v>
      </c>
      <c r="H1496" s="22" t="s">
        <v>365</v>
      </c>
      <c r="I1496" s="25" t="s">
        <v>4245</v>
      </c>
      <c r="J1496" s="19" t="s">
        <v>811</v>
      </c>
      <c r="K1496" s="19" t="s">
        <v>82</v>
      </c>
      <c r="L1496" s="22"/>
      <c r="M1496" s="26"/>
      <c r="N1496" s="26"/>
      <c r="O1496" s="26"/>
      <c r="P1496" s="26"/>
      <c r="Q1496" s="26"/>
    </row>
    <row r="1497" ht="15.75" hidden="1" customHeight="1">
      <c r="A1497" s="31" t="s">
        <v>39</v>
      </c>
      <c r="B1497" s="9" t="s">
        <v>4034</v>
      </c>
      <c r="C1497" s="19" t="s">
        <v>808</v>
      </c>
      <c r="D1497" s="22" t="s">
        <v>3940</v>
      </c>
      <c r="E1497" s="19" t="s">
        <v>109</v>
      </c>
      <c r="F1497" s="19" t="s">
        <v>1293</v>
      </c>
      <c r="G1497" s="19" t="s">
        <v>135</v>
      </c>
      <c r="H1497" s="22" t="s">
        <v>365</v>
      </c>
      <c r="I1497" s="25" t="s">
        <v>1025</v>
      </c>
      <c r="J1497" s="19"/>
      <c r="K1497" s="19" t="s">
        <v>137</v>
      </c>
      <c r="L1497" s="22"/>
      <c r="M1497" s="26"/>
      <c r="N1497" s="26"/>
      <c r="O1497" s="26"/>
      <c r="P1497" s="26"/>
      <c r="Q1497" s="26"/>
    </row>
    <row r="1498" ht="15.75" hidden="1" customHeight="1">
      <c r="A1498" s="31" t="s">
        <v>39</v>
      </c>
      <c r="B1498" s="9" t="s">
        <v>4034</v>
      </c>
      <c r="C1498" s="19" t="s">
        <v>3506</v>
      </c>
      <c r="D1498" s="22" t="s">
        <v>4246</v>
      </c>
      <c r="E1498" s="19" t="s">
        <v>109</v>
      </c>
      <c r="F1498" s="19" t="s">
        <v>89</v>
      </c>
      <c r="G1498" s="19" t="s">
        <v>135</v>
      </c>
      <c r="H1498" s="22" t="s">
        <v>365</v>
      </c>
      <c r="I1498" s="25" t="s">
        <v>4247</v>
      </c>
      <c r="J1498" s="19" t="s">
        <v>140</v>
      </c>
      <c r="K1498" s="19" t="s">
        <v>13</v>
      </c>
      <c r="L1498" s="22"/>
      <c r="M1498" s="26"/>
      <c r="N1498" s="26"/>
      <c r="O1498" s="26"/>
      <c r="P1498" s="26"/>
      <c r="Q1498" s="26"/>
    </row>
    <row r="1499" ht="15.75" hidden="1" customHeight="1">
      <c r="A1499" s="31" t="s">
        <v>39</v>
      </c>
      <c r="B1499" s="9" t="s">
        <v>4034</v>
      </c>
      <c r="C1499" s="19" t="s">
        <v>4248</v>
      </c>
      <c r="D1499" s="22" t="s">
        <v>3300</v>
      </c>
      <c r="E1499" s="19" t="s">
        <v>109</v>
      </c>
      <c r="F1499" s="19" t="s">
        <v>631</v>
      </c>
      <c r="G1499" s="19" t="s">
        <v>142</v>
      </c>
      <c r="H1499" s="22" t="s">
        <v>365</v>
      </c>
      <c r="I1499" s="25" t="s">
        <v>4249</v>
      </c>
      <c r="J1499" s="19" t="s">
        <v>1349</v>
      </c>
      <c r="K1499" s="19" t="s">
        <v>145</v>
      </c>
      <c r="L1499" s="22"/>
      <c r="M1499" s="26"/>
      <c r="N1499" s="26"/>
      <c r="O1499" s="26"/>
      <c r="P1499" s="26"/>
      <c r="Q1499" s="26"/>
    </row>
    <row r="1500" ht="15.75" hidden="1" customHeight="1">
      <c r="A1500" s="31" t="s">
        <v>39</v>
      </c>
      <c r="B1500" s="9" t="s">
        <v>4034</v>
      </c>
      <c r="C1500" s="19" t="s">
        <v>3103</v>
      </c>
      <c r="D1500" s="22" t="s">
        <v>4250</v>
      </c>
      <c r="E1500" s="19" t="s">
        <v>119</v>
      </c>
      <c r="F1500" s="19" t="s">
        <v>868</v>
      </c>
      <c r="G1500" s="19" t="s">
        <v>135</v>
      </c>
      <c r="H1500" s="22" t="s">
        <v>155</v>
      </c>
      <c r="I1500" s="25" t="s">
        <v>4251</v>
      </c>
      <c r="J1500" s="19" t="s">
        <v>319</v>
      </c>
      <c r="K1500" s="19" t="s">
        <v>78</v>
      </c>
      <c r="L1500" s="22" t="s">
        <v>723</v>
      </c>
      <c r="M1500" s="26"/>
      <c r="N1500" s="26"/>
      <c r="O1500" s="26"/>
      <c r="P1500" s="26"/>
      <c r="Q1500" s="26"/>
    </row>
    <row r="1501" ht="15.75" hidden="1" customHeight="1">
      <c r="A1501" s="31" t="s">
        <v>39</v>
      </c>
      <c r="B1501" s="9" t="s">
        <v>4034</v>
      </c>
      <c r="C1501" s="19" t="s">
        <v>4252</v>
      </c>
      <c r="D1501" s="22" t="s">
        <v>4253</v>
      </c>
      <c r="E1501" s="19" t="s">
        <v>109</v>
      </c>
      <c r="F1501" s="19" t="s">
        <v>4254</v>
      </c>
      <c r="G1501" s="19" t="s">
        <v>142</v>
      </c>
      <c r="H1501" s="22" t="s">
        <v>365</v>
      </c>
      <c r="I1501" s="25" t="s">
        <v>4255</v>
      </c>
      <c r="J1501" s="19" t="s">
        <v>663</v>
      </c>
      <c r="K1501" s="19" t="s">
        <v>180</v>
      </c>
      <c r="L1501" s="22"/>
      <c r="M1501" s="26"/>
      <c r="N1501" s="26"/>
      <c r="O1501" s="26"/>
      <c r="P1501" s="26"/>
      <c r="Q1501" s="26"/>
    </row>
    <row r="1502" ht="15.75" customHeight="1">
      <c r="A1502" s="31" t="s">
        <v>39</v>
      </c>
      <c r="B1502" s="9" t="s">
        <v>4034</v>
      </c>
      <c r="C1502" s="19" t="s">
        <v>201</v>
      </c>
      <c r="D1502" s="22" t="s">
        <v>4256</v>
      </c>
      <c r="E1502" s="19" t="s">
        <v>127</v>
      </c>
      <c r="F1502" s="19" t="s">
        <v>2675</v>
      </c>
      <c r="G1502" s="19" t="s">
        <v>90</v>
      </c>
      <c r="H1502" s="22" t="s">
        <v>365</v>
      </c>
      <c r="I1502" s="25" t="s">
        <v>2856</v>
      </c>
      <c r="J1502" s="19" t="s">
        <v>319</v>
      </c>
      <c r="K1502" s="19" t="s">
        <v>122</v>
      </c>
      <c r="L1502" s="22" t="s">
        <v>4257</v>
      </c>
      <c r="M1502" s="26"/>
      <c r="N1502" s="26"/>
      <c r="O1502" s="26"/>
      <c r="P1502" s="26"/>
      <c r="Q1502" s="26"/>
    </row>
    <row r="1503" ht="15.75" hidden="1" customHeight="1">
      <c r="A1503" s="31" t="s">
        <v>39</v>
      </c>
      <c r="B1503" s="9" t="s">
        <v>4258</v>
      </c>
      <c r="C1503" s="19" t="s">
        <v>4259</v>
      </c>
      <c r="D1503" s="22" t="s">
        <v>4260</v>
      </c>
      <c r="E1503" s="19" t="s">
        <v>115</v>
      </c>
      <c r="F1503" s="19" t="s">
        <v>4261</v>
      </c>
      <c r="G1503" s="19" t="s">
        <v>57</v>
      </c>
      <c r="H1503" s="22" t="s">
        <v>365</v>
      </c>
      <c r="I1503" s="25" t="s">
        <v>4262</v>
      </c>
      <c r="J1503" s="19" t="s">
        <v>95</v>
      </c>
      <c r="K1503" s="19" t="s">
        <v>66</v>
      </c>
      <c r="L1503" s="22"/>
      <c r="M1503" s="26"/>
      <c r="N1503" s="26"/>
      <c r="O1503" s="26"/>
      <c r="P1503" s="26"/>
      <c r="Q1503" s="26"/>
    </row>
    <row r="1504" ht="15.75" hidden="1" customHeight="1">
      <c r="A1504" s="31" t="s">
        <v>39</v>
      </c>
      <c r="B1504" s="9" t="s">
        <v>4258</v>
      </c>
      <c r="C1504" s="19" t="s">
        <v>4263</v>
      </c>
      <c r="D1504" s="22" t="s">
        <v>4264</v>
      </c>
      <c r="E1504" s="19" t="s">
        <v>115</v>
      </c>
      <c r="F1504" s="19" t="s">
        <v>560</v>
      </c>
      <c r="G1504" s="19" t="s">
        <v>146</v>
      </c>
      <c r="H1504" s="22" t="s">
        <v>365</v>
      </c>
      <c r="I1504" s="25" t="s">
        <v>4265</v>
      </c>
      <c r="J1504" s="19" t="s">
        <v>456</v>
      </c>
      <c r="K1504" s="19" t="s">
        <v>193</v>
      </c>
      <c r="L1504" s="22"/>
      <c r="M1504" s="26"/>
      <c r="N1504" s="26"/>
      <c r="O1504" s="26"/>
      <c r="P1504" s="26"/>
      <c r="Q1504" s="26"/>
    </row>
    <row r="1505" ht="15.75" hidden="1" customHeight="1">
      <c r="A1505" s="31" t="s">
        <v>39</v>
      </c>
      <c r="B1505" s="9" t="s">
        <v>4258</v>
      </c>
      <c r="C1505" s="19" t="s">
        <v>4266</v>
      </c>
      <c r="D1505" s="22" t="s">
        <v>4267</v>
      </c>
      <c r="E1505" s="19" t="s">
        <v>115</v>
      </c>
      <c r="F1505" s="19" t="s">
        <v>2221</v>
      </c>
      <c r="G1505" s="19" t="s">
        <v>57</v>
      </c>
      <c r="H1505" s="22" t="s">
        <v>365</v>
      </c>
      <c r="I1505" s="25" t="s">
        <v>4268</v>
      </c>
      <c r="J1505" s="19"/>
      <c r="K1505" s="19" t="s">
        <v>184</v>
      </c>
      <c r="L1505" s="22" t="s">
        <v>4269</v>
      </c>
      <c r="M1505" s="26"/>
      <c r="N1505" s="26"/>
      <c r="O1505" s="26"/>
      <c r="P1505" s="26"/>
      <c r="Q1505" s="26"/>
    </row>
    <row r="1506" ht="15.75" hidden="1" customHeight="1">
      <c r="A1506" s="31" t="s">
        <v>39</v>
      </c>
      <c r="B1506" s="9" t="s">
        <v>4258</v>
      </c>
      <c r="C1506" s="19" t="s">
        <v>4270</v>
      </c>
      <c r="D1506" s="22" t="s">
        <v>4271</v>
      </c>
      <c r="E1506" s="19" t="s">
        <v>115</v>
      </c>
      <c r="F1506" s="19" t="s">
        <v>2796</v>
      </c>
      <c r="G1506" s="19" t="s">
        <v>57</v>
      </c>
      <c r="H1506" s="22" t="s">
        <v>365</v>
      </c>
      <c r="I1506" s="25" t="s">
        <v>4272</v>
      </c>
      <c r="J1506" s="19" t="s">
        <v>982</v>
      </c>
      <c r="K1506" s="19" t="s">
        <v>66</v>
      </c>
      <c r="L1506" s="22"/>
      <c r="M1506" s="26"/>
      <c r="N1506" s="26"/>
      <c r="O1506" s="26"/>
      <c r="P1506" s="26"/>
      <c r="Q1506" s="26"/>
    </row>
    <row r="1507" ht="15.75" hidden="1" customHeight="1">
      <c r="A1507" s="31" t="s">
        <v>39</v>
      </c>
      <c r="B1507" s="9" t="s">
        <v>4258</v>
      </c>
      <c r="C1507" s="19" t="s">
        <v>4273</v>
      </c>
      <c r="D1507" s="22" t="s">
        <v>4274</v>
      </c>
      <c r="E1507" s="19" t="s">
        <v>115</v>
      </c>
      <c r="F1507" s="19" t="s">
        <v>4275</v>
      </c>
      <c r="G1507" s="19" t="s">
        <v>57</v>
      </c>
      <c r="H1507" s="22" t="s">
        <v>365</v>
      </c>
      <c r="I1507" s="25" t="s">
        <v>4276</v>
      </c>
      <c r="J1507" s="19"/>
      <c r="K1507" s="19" t="s">
        <v>184</v>
      </c>
      <c r="L1507" s="22"/>
      <c r="M1507" s="26"/>
      <c r="N1507" s="26"/>
      <c r="O1507" s="26"/>
      <c r="P1507" s="26"/>
      <c r="Q1507" s="26"/>
    </row>
    <row r="1508" ht="15.75" hidden="1" customHeight="1">
      <c r="A1508" s="31" t="s">
        <v>39</v>
      </c>
      <c r="B1508" s="9" t="s">
        <v>4258</v>
      </c>
      <c r="C1508" s="19" t="s">
        <v>4277</v>
      </c>
      <c r="D1508" s="22" t="s">
        <v>4278</v>
      </c>
      <c r="E1508" s="19" t="s">
        <v>115</v>
      </c>
      <c r="F1508" s="19" t="s">
        <v>2093</v>
      </c>
      <c r="G1508" s="19" t="s">
        <v>57</v>
      </c>
      <c r="H1508" s="22" t="s">
        <v>365</v>
      </c>
      <c r="I1508" s="25" t="s">
        <v>4279</v>
      </c>
      <c r="J1508" s="19" t="s">
        <v>1106</v>
      </c>
      <c r="K1508" s="19" t="s">
        <v>66</v>
      </c>
      <c r="L1508" s="22"/>
      <c r="M1508" s="26"/>
      <c r="N1508" s="26"/>
      <c r="O1508" s="26"/>
      <c r="P1508" s="26"/>
      <c r="Q1508" s="26"/>
    </row>
    <row r="1509" ht="15.75" hidden="1" customHeight="1">
      <c r="A1509" s="31" t="s">
        <v>39</v>
      </c>
      <c r="B1509" s="9" t="s">
        <v>4258</v>
      </c>
      <c r="C1509" s="19" t="s">
        <v>4280</v>
      </c>
      <c r="D1509" s="22" t="s">
        <v>4281</v>
      </c>
      <c r="E1509" s="19" t="s">
        <v>115</v>
      </c>
      <c r="F1509" s="19" t="s">
        <v>2221</v>
      </c>
      <c r="G1509" s="19" t="s">
        <v>146</v>
      </c>
      <c r="H1509" s="22" t="s">
        <v>365</v>
      </c>
      <c r="I1509" s="25" t="s">
        <v>4282</v>
      </c>
      <c r="J1509" s="19" t="s">
        <v>1614</v>
      </c>
      <c r="K1509" s="19" t="s">
        <v>193</v>
      </c>
      <c r="L1509" s="22"/>
      <c r="M1509" s="26"/>
      <c r="N1509" s="26"/>
      <c r="O1509" s="26"/>
      <c r="P1509" s="26"/>
      <c r="Q1509" s="26"/>
    </row>
    <row r="1510" ht="15.75" hidden="1" customHeight="1">
      <c r="A1510" s="31" t="s">
        <v>39</v>
      </c>
      <c r="B1510" s="9" t="s">
        <v>4258</v>
      </c>
      <c r="C1510" s="19" t="s">
        <v>4283</v>
      </c>
      <c r="D1510" s="22" t="s">
        <v>931</v>
      </c>
      <c r="E1510" s="19" t="s">
        <v>115</v>
      </c>
      <c r="F1510" s="19" t="s">
        <v>4284</v>
      </c>
      <c r="G1510" s="19" t="s">
        <v>57</v>
      </c>
      <c r="H1510" s="22" t="s">
        <v>365</v>
      </c>
      <c r="I1510" s="25" t="s">
        <v>4285</v>
      </c>
      <c r="J1510" s="19" t="s">
        <v>782</v>
      </c>
      <c r="K1510" s="19" t="s">
        <v>66</v>
      </c>
      <c r="L1510" s="22"/>
      <c r="M1510" s="26"/>
      <c r="N1510" s="26"/>
      <c r="O1510" s="26"/>
      <c r="P1510" s="26"/>
      <c r="Q1510" s="26"/>
    </row>
    <row r="1511" ht="15.75" hidden="1" customHeight="1">
      <c r="A1511" s="31" t="s">
        <v>39</v>
      </c>
      <c r="B1511" s="9" t="s">
        <v>4258</v>
      </c>
      <c r="C1511" s="19" t="s">
        <v>4283</v>
      </c>
      <c r="D1511" s="22" t="s">
        <v>4286</v>
      </c>
      <c r="E1511" s="19" t="s">
        <v>115</v>
      </c>
      <c r="F1511" s="19" t="s">
        <v>4284</v>
      </c>
      <c r="G1511" s="19" t="s">
        <v>57</v>
      </c>
      <c r="H1511" s="22" t="s">
        <v>365</v>
      </c>
      <c r="I1511" s="25" t="s">
        <v>4287</v>
      </c>
      <c r="J1511" s="19" t="s">
        <v>782</v>
      </c>
      <c r="K1511" s="19" t="s">
        <v>66</v>
      </c>
      <c r="L1511" s="22"/>
      <c r="M1511" s="26"/>
      <c r="N1511" s="26"/>
      <c r="O1511" s="26"/>
      <c r="P1511" s="26"/>
      <c r="Q1511" s="26"/>
    </row>
    <row r="1512" ht="15.75" hidden="1" customHeight="1">
      <c r="A1512" s="31" t="s">
        <v>39</v>
      </c>
      <c r="B1512" s="9" t="s">
        <v>4258</v>
      </c>
      <c r="C1512" s="19" t="s">
        <v>4288</v>
      </c>
      <c r="D1512" s="22" t="s">
        <v>4289</v>
      </c>
      <c r="E1512" s="19" t="s">
        <v>127</v>
      </c>
      <c r="F1512" s="19" t="s">
        <v>335</v>
      </c>
      <c r="G1512" s="19" t="s">
        <v>135</v>
      </c>
      <c r="H1512" s="22" t="s">
        <v>155</v>
      </c>
      <c r="I1512" s="25" t="s">
        <v>4290</v>
      </c>
      <c r="J1512" s="19"/>
      <c r="K1512" s="19" t="s">
        <v>122</v>
      </c>
      <c r="L1512" s="22" t="s">
        <v>3097</v>
      </c>
      <c r="M1512" s="26"/>
      <c r="N1512" s="26"/>
      <c r="O1512" s="26"/>
      <c r="P1512" s="26"/>
      <c r="Q1512" s="26"/>
    </row>
    <row r="1513" ht="15.75" hidden="1" customHeight="1">
      <c r="A1513" s="31" t="s">
        <v>39</v>
      </c>
      <c r="B1513" s="9" t="s">
        <v>4258</v>
      </c>
      <c r="C1513" s="19" t="s">
        <v>1873</v>
      </c>
      <c r="D1513" s="22" t="s">
        <v>4291</v>
      </c>
      <c r="E1513" s="19" t="s">
        <v>127</v>
      </c>
      <c r="F1513" s="19" t="s">
        <v>335</v>
      </c>
      <c r="G1513" s="19" t="s">
        <v>135</v>
      </c>
      <c r="H1513" s="22" t="s">
        <v>155</v>
      </c>
      <c r="I1513" s="25" t="s">
        <v>4292</v>
      </c>
      <c r="J1513" s="19" t="s">
        <v>490</v>
      </c>
      <c r="K1513" s="19" t="s">
        <v>78</v>
      </c>
      <c r="L1513" s="22" t="s">
        <v>723</v>
      </c>
      <c r="M1513" s="26"/>
      <c r="N1513" s="26"/>
      <c r="O1513" s="26"/>
      <c r="P1513" s="26"/>
      <c r="Q1513" s="26"/>
    </row>
    <row r="1514" ht="15.75" hidden="1" customHeight="1">
      <c r="A1514" s="31" t="s">
        <v>39</v>
      </c>
      <c r="B1514" s="9" t="s">
        <v>4258</v>
      </c>
      <c r="C1514" s="19" t="s">
        <v>4293</v>
      </c>
      <c r="D1514" s="22" t="s">
        <v>4294</v>
      </c>
      <c r="E1514" s="19" t="s">
        <v>115</v>
      </c>
      <c r="F1514" s="19" t="s">
        <v>868</v>
      </c>
      <c r="G1514" s="19" t="s">
        <v>57</v>
      </c>
      <c r="H1514" s="22" t="s">
        <v>365</v>
      </c>
      <c r="I1514" s="25" t="s">
        <v>4295</v>
      </c>
      <c r="J1514" s="19" t="s">
        <v>1445</v>
      </c>
      <c r="K1514" s="19" t="s">
        <v>66</v>
      </c>
      <c r="L1514" s="22"/>
      <c r="M1514" s="26"/>
      <c r="N1514" s="26"/>
      <c r="O1514" s="26"/>
      <c r="P1514" s="26"/>
      <c r="Q1514" s="26"/>
    </row>
    <row r="1515" ht="15.75" hidden="1" customHeight="1">
      <c r="A1515" s="31" t="s">
        <v>39</v>
      </c>
      <c r="B1515" s="9" t="s">
        <v>4258</v>
      </c>
      <c r="C1515" s="19" t="s">
        <v>4296</v>
      </c>
      <c r="D1515" s="22" t="s">
        <v>4297</v>
      </c>
      <c r="E1515" s="19" t="s">
        <v>115</v>
      </c>
      <c r="F1515" s="19" t="s">
        <v>521</v>
      </c>
      <c r="G1515" s="19" t="s">
        <v>57</v>
      </c>
      <c r="H1515" s="22" t="s">
        <v>365</v>
      </c>
      <c r="I1515" s="25" t="s">
        <v>4298</v>
      </c>
      <c r="J1515" s="19" t="s">
        <v>319</v>
      </c>
      <c r="K1515" s="19" t="s">
        <v>52</v>
      </c>
      <c r="L1515" s="22" t="s">
        <v>4299</v>
      </c>
      <c r="M1515" s="26"/>
      <c r="N1515" s="26"/>
      <c r="O1515" s="26"/>
      <c r="P1515" s="26"/>
      <c r="Q1515" s="26"/>
    </row>
    <row r="1516" ht="15.75" hidden="1" customHeight="1">
      <c r="A1516" s="31" t="s">
        <v>39</v>
      </c>
      <c r="B1516" s="9" t="s">
        <v>4258</v>
      </c>
      <c r="C1516" s="19" t="s">
        <v>4300</v>
      </c>
      <c r="D1516" s="22" t="s">
        <v>4301</v>
      </c>
      <c r="E1516" s="19" t="s">
        <v>115</v>
      </c>
      <c r="F1516" s="19" t="s">
        <v>868</v>
      </c>
      <c r="G1516" s="19" t="s">
        <v>57</v>
      </c>
      <c r="H1516" s="22" t="s">
        <v>365</v>
      </c>
      <c r="I1516" s="25" t="s">
        <v>4302</v>
      </c>
      <c r="J1516" s="19" t="s">
        <v>619</v>
      </c>
      <c r="K1516" s="19" t="s">
        <v>66</v>
      </c>
      <c r="L1516" s="22"/>
      <c r="M1516" s="26"/>
      <c r="N1516" s="26"/>
      <c r="O1516" s="26"/>
      <c r="P1516" s="26"/>
      <c r="Q1516" s="26"/>
    </row>
    <row r="1517" ht="15.75" hidden="1" customHeight="1">
      <c r="A1517" s="31" t="s">
        <v>39</v>
      </c>
      <c r="B1517" s="9" t="s">
        <v>4258</v>
      </c>
      <c r="C1517" s="19" t="s">
        <v>4303</v>
      </c>
      <c r="D1517" s="22" t="s">
        <v>4304</v>
      </c>
      <c r="E1517" s="19" t="s">
        <v>115</v>
      </c>
      <c r="F1517" s="19" t="s">
        <v>134</v>
      </c>
      <c r="G1517" s="19" t="s">
        <v>57</v>
      </c>
      <c r="H1517" s="22" t="s">
        <v>365</v>
      </c>
      <c r="I1517" s="25" t="s">
        <v>4305</v>
      </c>
      <c r="J1517" s="19" t="s">
        <v>337</v>
      </c>
      <c r="K1517" s="19" t="s">
        <v>66</v>
      </c>
      <c r="L1517" s="22" t="s">
        <v>4306</v>
      </c>
      <c r="M1517" s="26"/>
      <c r="N1517" s="26"/>
      <c r="O1517" s="26"/>
      <c r="P1517" s="26"/>
      <c r="Q1517" s="26"/>
    </row>
    <row r="1518" ht="15.75" hidden="1" customHeight="1">
      <c r="A1518" s="31" t="s">
        <v>39</v>
      </c>
      <c r="B1518" s="9" t="s">
        <v>4258</v>
      </c>
      <c r="C1518" s="19" t="s">
        <v>4307</v>
      </c>
      <c r="D1518" s="22" t="s">
        <v>4308</v>
      </c>
      <c r="E1518" s="19" t="s">
        <v>115</v>
      </c>
      <c r="F1518" s="19" t="s">
        <v>4309</v>
      </c>
      <c r="G1518" s="19" t="s">
        <v>57</v>
      </c>
      <c r="H1518" s="22" t="s">
        <v>365</v>
      </c>
      <c r="I1518" s="25" t="s">
        <v>4310</v>
      </c>
      <c r="J1518" s="19" t="s">
        <v>1211</v>
      </c>
      <c r="K1518" s="19" t="s">
        <v>66</v>
      </c>
      <c r="L1518" s="22"/>
      <c r="M1518" s="26"/>
      <c r="N1518" s="26"/>
      <c r="O1518" s="26"/>
      <c r="P1518" s="26"/>
      <c r="Q1518" s="26"/>
    </row>
    <row r="1519" ht="15.75" hidden="1" customHeight="1">
      <c r="A1519" s="31" t="s">
        <v>39</v>
      </c>
      <c r="B1519" s="9" t="s">
        <v>4258</v>
      </c>
      <c r="C1519" s="19" t="s">
        <v>4307</v>
      </c>
      <c r="D1519" s="22" t="s">
        <v>4311</v>
      </c>
      <c r="E1519" s="19" t="s">
        <v>115</v>
      </c>
      <c r="F1519" s="19" t="s">
        <v>4309</v>
      </c>
      <c r="G1519" s="19" t="s">
        <v>57</v>
      </c>
      <c r="H1519" s="22" t="s">
        <v>365</v>
      </c>
      <c r="I1519" s="25" t="s">
        <v>4310</v>
      </c>
      <c r="J1519" s="19" t="s">
        <v>1106</v>
      </c>
      <c r="K1519" s="19" t="s">
        <v>66</v>
      </c>
      <c r="L1519" s="22"/>
      <c r="M1519" s="26"/>
      <c r="N1519" s="26"/>
      <c r="O1519" s="26"/>
      <c r="P1519" s="26"/>
      <c r="Q1519" s="26"/>
    </row>
    <row r="1520" ht="15.75" hidden="1" customHeight="1">
      <c r="A1520" s="31" t="s">
        <v>39</v>
      </c>
      <c r="B1520" s="9" t="s">
        <v>4258</v>
      </c>
      <c r="C1520" s="19" t="s">
        <v>4307</v>
      </c>
      <c r="D1520" s="22" t="s">
        <v>4312</v>
      </c>
      <c r="E1520" s="19" t="s">
        <v>115</v>
      </c>
      <c r="F1520" s="19" t="s">
        <v>4309</v>
      </c>
      <c r="G1520" s="19" t="s">
        <v>57</v>
      </c>
      <c r="H1520" s="22" t="s">
        <v>365</v>
      </c>
      <c r="I1520" s="25" t="s">
        <v>4310</v>
      </c>
      <c r="J1520" s="19" t="s">
        <v>1371</v>
      </c>
      <c r="K1520" s="19" t="s">
        <v>66</v>
      </c>
      <c r="L1520" s="22"/>
      <c r="M1520" s="26"/>
      <c r="N1520" s="26"/>
      <c r="O1520" s="26"/>
      <c r="P1520" s="26"/>
      <c r="Q1520" s="26"/>
    </row>
    <row r="1521" ht="15.75" hidden="1" customHeight="1">
      <c r="A1521" s="31" t="s">
        <v>39</v>
      </c>
      <c r="B1521" s="9" t="s">
        <v>4258</v>
      </c>
      <c r="C1521" s="19" t="s">
        <v>4313</v>
      </c>
      <c r="D1521" s="22" t="s">
        <v>4314</v>
      </c>
      <c r="E1521" s="19" t="s">
        <v>115</v>
      </c>
      <c r="F1521" s="19" t="s">
        <v>3973</v>
      </c>
      <c r="G1521" s="19" t="s">
        <v>57</v>
      </c>
      <c r="H1521" s="22" t="s">
        <v>365</v>
      </c>
      <c r="I1521" s="25" t="s">
        <v>4315</v>
      </c>
      <c r="J1521" s="19"/>
      <c r="K1521" s="19" t="s">
        <v>13</v>
      </c>
      <c r="L1521" s="22"/>
      <c r="M1521" s="26"/>
      <c r="N1521" s="26"/>
      <c r="O1521" s="26"/>
      <c r="P1521" s="26"/>
      <c r="Q1521" s="26"/>
    </row>
    <row r="1522" ht="15.75" hidden="1" customHeight="1">
      <c r="A1522" s="31" t="s">
        <v>39</v>
      </c>
      <c r="B1522" s="9" t="s">
        <v>4258</v>
      </c>
      <c r="C1522" s="19" t="s">
        <v>3718</v>
      </c>
      <c r="D1522" s="22" t="s">
        <v>4316</v>
      </c>
      <c r="E1522" s="19" t="s">
        <v>115</v>
      </c>
      <c r="F1522" s="19" t="s">
        <v>521</v>
      </c>
      <c r="G1522" s="19" t="s">
        <v>57</v>
      </c>
      <c r="H1522" s="22" t="s">
        <v>365</v>
      </c>
      <c r="I1522" s="25" t="s">
        <v>4317</v>
      </c>
      <c r="J1522" s="19" t="s">
        <v>95</v>
      </c>
      <c r="K1522" s="19" t="s">
        <v>66</v>
      </c>
      <c r="L1522" s="22"/>
      <c r="M1522" s="26"/>
      <c r="N1522" s="26"/>
      <c r="O1522" s="26"/>
      <c r="P1522" s="26"/>
      <c r="Q1522" s="26"/>
    </row>
    <row r="1523" ht="15.75" hidden="1" customHeight="1">
      <c r="A1523" s="31" t="s">
        <v>39</v>
      </c>
      <c r="B1523" s="9" t="s">
        <v>4258</v>
      </c>
      <c r="C1523" s="19" t="s">
        <v>4318</v>
      </c>
      <c r="D1523" s="22" t="s">
        <v>3622</v>
      </c>
      <c r="E1523" s="19" t="s">
        <v>115</v>
      </c>
      <c r="F1523" s="19" t="s">
        <v>4319</v>
      </c>
      <c r="G1523" s="19" t="s">
        <v>57</v>
      </c>
      <c r="H1523" s="22" t="s">
        <v>365</v>
      </c>
      <c r="I1523" s="25" t="s">
        <v>4320</v>
      </c>
      <c r="J1523" s="19" t="s">
        <v>1850</v>
      </c>
      <c r="K1523" s="19" t="s">
        <v>66</v>
      </c>
      <c r="L1523" s="22"/>
      <c r="M1523" s="26"/>
      <c r="N1523" s="26"/>
      <c r="O1523" s="26"/>
      <c r="P1523" s="26"/>
      <c r="Q1523" s="26"/>
    </row>
    <row r="1524" ht="15.75" hidden="1" customHeight="1">
      <c r="A1524" s="31" t="s">
        <v>39</v>
      </c>
      <c r="B1524" s="9" t="s">
        <v>4258</v>
      </c>
      <c r="C1524" s="19" t="s">
        <v>4321</v>
      </c>
      <c r="D1524" s="22" t="s">
        <v>4322</v>
      </c>
      <c r="E1524" s="19" t="s">
        <v>115</v>
      </c>
      <c r="F1524" s="19" t="s">
        <v>2126</v>
      </c>
      <c r="G1524" s="19" t="s">
        <v>57</v>
      </c>
      <c r="H1524" s="22" t="s">
        <v>365</v>
      </c>
      <c r="I1524" s="25" t="s">
        <v>2670</v>
      </c>
      <c r="J1524" s="19" t="s">
        <v>782</v>
      </c>
      <c r="K1524" s="19" t="s">
        <v>66</v>
      </c>
      <c r="L1524" s="22"/>
      <c r="M1524" s="26"/>
      <c r="N1524" s="26"/>
      <c r="O1524" s="26"/>
      <c r="P1524" s="26"/>
      <c r="Q1524" s="26"/>
    </row>
    <row r="1525" ht="15.75" hidden="1" customHeight="1">
      <c r="A1525" s="31" t="s">
        <v>39</v>
      </c>
      <c r="B1525" s="9" t="s">
        <v>4258</v>
      </c>
      <c r="C1525" s="19" t="s">
        <v>4323</v>
      </c>
      <c r="D1525" s="22" t="s">
        <v>4324</v>
      </c>
      <c r="E1525" s="19" t="s">
        <v>115</v>
      </c>
      <c r="F1525" s="19" t="s">
        <v>3142</v>
      </c>
      <c r="G1525" s="19" t="s">
        <v>57</v>
      </c>
      <c r="H1525" s="22" t="s">
        <v>365</v>
      </c>
      <c r="I1525" s="25" t="s">
        <v>4325</v>
      </c>
      <c r="J1525" s="19"/>
      <c r="K1525" s="19" t="s">
        <v>40</v>
      </c>
      <c r="L1525" s="22"/>
      <c r="M1525" s="26"/>
      <c r="N1525" s="26"/>
      <c r="O1525" s="26"/>
      <c r="P1525" s="26"/>
      <c r="Q1525" s="26"/>
    </row>
    <row r="1526" ht="15.75" hidden="1" customHeight="1">
      <c r="A1526" s="31" t="s">
        <v>39</v>
      </c>
      <c r="B1526" s="9" t="s">
        <v>4258</v>
      </c>
      <c r="C1526" s="19" t="s">
        <v>4326</v>
      </c>
      <c r="D1526" s="22" t="s">
        <v>4327</v>
      </c>
      <c r="E1526" s="19" t="s">
        <v>115</v>
      </c>
      <c r="F1526" s="19" t="s">
        <v>2221</v>
      </c>
      <c r="G1526" s="19" t="s">
        <v>57</v>
      </c>
      <c r="H1526" s="22" t="s">
        <v>365</v>
      </c>
      <c r="I1526" s="25" t="s">
        <v>3777</v>
      </c>
      <c r="J1526" s="19" t="s">
        <v>1850</v>
      </c>
      <c r="K1526" s="19" t="s">
        <v>66</v>
      </c>
      <c r="L1526" s="22"/>
      <c r="M1526" s="26"/>
      <c r="N1526" s="26"/>
      <c r="O1526" s="26"/>
      <c r="P1526" s="26"/>
      <c r="Q1526" s="26"/>
    </row>
    <row r="1527" ht="15.75" hidden="1" customHeight="1">
      <c r="A1527" s="31" t="s">
        <v>39</v>
      </c>
      <c r="B1527" s="9" t="s">
        <v>4258</v>
      </c>
      <c r="C1527" s="19" t="s">
        <v>4328</v>
      </c>
      <c r="D1527" s="22" t="s">
        <v>4329</v>
      </c>
      <c r="E1527" s="19" t="s">
        <v>115</v>
      </c>
      <c r="F1527" s="19" t="s">
        <v>241</v>
      </c>
      <c r="G1527" s="19" t="s">
        <v>57</v>
      </c>
      <c r="H1527" s="22" t="s">
        <v>365</v>
      </c>
      <c r="I1527" s="25" t="s">
        <v>4330</v>
      </c>
      <c r="J1527" s="19" t="s">
        <v>635</v>
      </c>
      <c r="K1527" s="19" t="s">
        <v>66</v>
      </c>
      <c r="L1527" s="22"/>
      <c r="M1527" s="26"/>
      <c r="N1527" s="26"/>
      <c r="O1527" s="26"/>
      <c r="P1527" s="26"/>
      <c r="Q1527" s="26"/>
    </row>
    <row r="1528" ht="15.75" hidden="1" customHeight="1">
      <c r="A1528" s="31" t="s">
        <v>39</v>
      </c>
      <c r="B1528" s="9" t="s">
        <v>4258</v>
      </c>
      <c r="C1528" s="19" t="s">
        <v>4331</v>
      </c>
      <c r="D1528" s="22" t="s">
        <v>2501</v>
      </c>
      <c r="E1528" s="19" t="s">
        <v>115</v>
      </c>
      <c r="F1528" s="19" t="s">
        <v>1129</v>
      </c>
      <c r="G1528" s="19" t="s">
        <v>57</v>
      </c>
      <c r="H1528" s="22" t="s">
        <v>365</v>
      </c>
      <c r="I1528" s="25" t="s">
        <v>4332</v>
      </c>
      <c r="J1528" s="19" t="s">
        <v>1445</v>
      </c>
      <c r="K1528" s="19" t="s">
        <v>66</v>
      </c>
      <c r="L1528" s="22"/>
      <c r="M1528" s="26"/>
      <c r="N1528" s="26"/>
      <c r="O1528" s="26"/>
      <c r="P1528" s="26"/>
      <c r="Q1528" s="26"/>
    </row>
    <row r="1529" ht="15.75" hidden="1" customHeight="1">
      <c r="A1529" s="31" t="s">
        <v>39</v>
      </c>
      <c r="B1529" s="9" t="s">
        <v>4333</v>
      </c>
      <c r="C1529" s="19" t="s">
        <v>3814</v>
      </c>
      <c r="D1529" s="22" t="s">
        <v>4334</v>
      </c>
      <c r="E1529" s="19" t="s">
        <v>115</v>
      </c>
      <c r="F1529" s="19" t="s">
        <v>4335</v>
      </c>
      <c r="G1529" s="19" t="s">
        <v>135</v>
      </c>
      <c r="H1529" s="22" t="s">
        <v>155</v>
      </c>
      <c r="I1529" s="25" t="s">
        <v>3816</v>
      </c>
      <c r="J1529" s="19"/>
      <c r="K1529" s="19" t="s">
        <v>74</v>
      </c>
      <c r="L1529" s="22" t="s">
        <v>723</v>
      </c>
      <c r="M1529" s="26"/>
      <c r="N1529" s="26"/>
      <c r="O1529" s="26"/>
      <c r="P1529" s="26"/>
      <c r="Q1529" s="26"/>
    </row>
    <row r="1530" ht="15.75" hidden="1" customHeight="1">
      <c r="A1530" s="31" t="s">
        <v>39</v>
      </c>
      <c r="B1530" s="9" t="s">
        <v>4333</v>
      </c>
      <c r="C1530" s="19" t="s">
        <v>3814</v>
      </c>
      <c r="D1530" s="22" t="s">
        <v>4336</v>
      </c>
      <c r="E1530" s="19" t="s">
        <v>115</v>
      </c>
      <c r="F1530" s="19" t="s">
        <v>2126</v>
      </c>
      <c r="G1530" s="19" t="s">
        <v>135</v>
      </c>
      <c r="H1530" s="22" t="s">
        <v>155</v>
      </c>
      <c r="I1530" s="25" t="s">
        <v>3816</v>
      </c>
      <c r="J1530" s="19"/>
      <c r="K1530" s="19" t="s">
        <v>74</v>
      </c>
      <c r="L1530" s="22" t="s">
        <v>723</v>
      </c>
      <c r="M1530" s="26"/>
      <c r="N1530" s="26"/>
      <c r="O1530" s="26"/>
      <c r="P1530" s="26"/>
      <c r="Q1530" s="26"/>
    </row>
    <row r="1531" ht="15.75" hidden="1" customHeight="1">
      <c r="A1531" s="31" t="s">
        <v>39</v>
      </c>
      <c r="B1531" s="9" t="s">
        <v>4333</v>
      </c>
      <c r="C1531" s="19" t="s">
        <v>2229</v>
      </c>
      <c r="D1531" s="22" t="s">
        <v>4337</v>
      </c>
      <c r="E1531" s="19" t="s">
        <v>115</v>
      </c>
      <c r="F1531" s="19" t="s">
        <v>2231</v>
      </c>
      <c r="G1531" s="19" t="s">
        <v>135</v>
      </c>
      <c r="H1531" s="22" t="s">
        <v>155</v>
      </c>
      <c r="I1531" s="25" t="s">
        <v>2232</v>
      </c>
      <c r="J1531" s="19" t="s">
        <v>811</v>
      </c>
      <c r="K1531" s="19" t="s">
        <v>94</v>
      </c>
      <c r="L1531" s="22"/>
      <c r="M1531" s="26"/>
      <c r="N1531" s="26"/>
      <c r="O1531" s="26"/>
      <c r="P1531" s="26"/>
      <c r="Q1531" s="26"/>
    </row>
    <row r="1532" ht="15.75" hidden="1" customHeight="1">
      <c r="A1532" s="31" t="s">
        <v>39</v>
      </c>
      <c r="B1532" s="9" t="s">
        <v>4333</v>
      </c>
      <c r="C1532" s="19" t="s">
        <v>3135</v>
      </c>
      <c r="D1532" s="22" t="s">
        <v>3622</v>
      </c>
      <c r="E1532" s="19" t="s">
        <v>115</v>
      </c>
      <c r="F1532" s="19" t="s">
        <v>1129</v>
      </c>
      <c r="G1532" s="19" t="s">
        <v>135</v>
      </c>
      <c r="H1532" s="22" t="s">
        <v>155</v>
      </c>
      <c r="I1532" s="25" t="s">
        <v>4338</v>
      </c>
      <c r="J1532" s="19" t="s">
        <v>95</v>
      </c>
      <c r="K1532" s="19" t="s">
        <v>13</v>
      </c>
      <c r="L1532" s="22" t="s">
        <v>698</v>
      </c>
      <c r="M1532" s="26"/>
      <c r="N1532" s="26"/>
      <c r="O1532" s="26"/>
      <c r="P1532" s="26"/>
      <c r="Q1532" s="26"/>
    </row>
    <row r="1533" ht="15.75" hidden="1" customHeight="1">
      <c r="A1533" s="31" t="s">
        <v>39</v>
      </c>
      <c r="B1533" s="9" t="s">
        <v>4333</v>
      </c>
      <c r="C1533" s="19" t="s">
        <v>4339</v>
      </c>
      <c r="D1533" s="22" t="s">
        <v>4340</v>
      </c>
      <c r="E1533" s="19" t="s">
        <v>115</v>
      </c>
      <c r="F1533" s="19" t="s">
        <v>4341</v>
      </c>
      <c r="G1533" s="19" t="s">
        <v>135</v>
      </c>
      <c r="H1533" s="22" t="s">
        <v>155</v>
      </c>
      <c r="I1533" s="25" t="s">
        <v>4342</v>
      </c>
      <c r="J1533" s="19"/>
      <c r="K1533" s="19" t="s">
        <v>74</v>
      </c>
      <c r="L1533" s="22" t="s">
        <v>723</v>
      </c>
      <c r="M1533" s="26"/>
      <c r="N1533" s="26"/>
      <c r="O1533" s="26"/>
      <c r="P1533" s="26"/>
      <c r="Q1533" s="26"/>
    </row>
    <row r="1534" ht="15.75" hidden="1" customHeight="1">
      <c r="A1534" s="31" t="s">
        <v>39</v>
      </c>
      <c r="B1534" s="9" t="s">
        <v>4333</v>
      </c>
      <c r="C1534" s="19" t="s">
        <v>4343</v>
      </c>
      <c r="D1534" s="22" t="s">
        <v>4023</v>
      </c>
      <c r="E1534" s="19" t="s">
        <v>115</v>
      </c>
      <c r="F1534" s="19" t="s">
        <v>4344</v>
      </c>
      <c r="G1534" s="19" t="s">
        <v>135</v>
      </c>
      <c r="H1534" s="22" t="s">
        <v>155</v>
      </c>
      <c r="I1534" s="25" t="s">
        <v>4345</v>
      </c>
      <c r="J1534" s="19"/>
      <c r="K1534" s="19" t="s">
        <v>13</v>
      </c>
      <c r="L1534" s="22" t="s">
        <v>890</v>
      </c>
      <c r="M1534" s="26"/>
      <c r="N1534" s="26"/>
      <c r="O1534" s="26"/>
      <c r="P1534" s="26"/>
      <c r="Q1534" s="26"/>
    </row>
    <row r="1535" ht="15.75" hidden="1" customHeight="1">
      <c r="A1535" s="31" t="s">
        <v>39</v>
      </c>
      <c r="B1535" s="9" t="s">
        <v>4333</v>
      </c>
      <c r="C1535" s="19" t="s">
        <v>4346</v>
      </c>
      <c r="D1535" s="22" t="s">
        <v>4347</v>
      </c>
      <c r="E1535" s="19" t="s">
        <v>115</v>
      </c>
      <c r="F1535" s="19" t="s">
        <v>421</v>
      </c>
      <c r="G1535" s="19" t="s">
        <v>135</v>
      </c>
      <c r="H1535" s="22" t="s">
        <v>155</v>
      </c>
      <c r="I1535" s="25" t="s">
        <v>4348</v>
      </c>
      <c r="J1535" s="19"/>
      <c r="K1535" s="19" t="s">
        <v>13</v>
      </c>
      <c r="L1535" s="22" t="s">
        <v>698</v>
      </c>
      <c r="M1535" s="26"/>
      <c r="N1535" s="26"/>
      <c r="O1535" s="26"/>
      <c r="P1535" s="26"/>
      <c r="Q1535" s="26"/>
    </row>
    <row r="1536" ht="15.75" hidden="1" customHeight="1">
      <c r="A1536" s="31" t="s">
        <v>39</v>
      </c>
      <c r="B1536" s="9" t="s">
        <v>4333</v>
      </c>
      <c r="C1536" s="19" t="s">
        <v>4349</v>
      </c>
      <c r="D1536" s="22" t="s">
        <v>3622</v>
      </c>
      <c r="E1536" s="19" t="s">
        <v>115</v>
      </c>
      <c r="F1536" s="19" t="s">
        <v>631</v>
      </c>
      <c r="G1536" s="19" t="s">
        <v>135</v>
      </c>
      <c r="H1536" s="22" t="s">
        <v>155</v>
      </c>
      <c r="I1536" s="25" t="s">
        <v>4350</v>
      </c>
      <c r="J1536" s="19"/>
      <c r="K1536" s="19" t="s">
        <v>13</v>
      </c>
      <c r="L1536" s="22" t="s">
        <v>738</v>
      </c>
      <c r="M1536" s="26"/>
      <c r="N1536" s="26"/>
      <c r="O1536" s="26"/>
      <c r="P1536" s="26"/>
      <c r="Q1536" s="26"/>
    </row>
    <row r="1537" ht="15.75" hidden="1" customHeight="1">
      <c r="A1537" s="31" t="s">
        <v>39</v>
      </c>
      <c r="B1537" s="9" t="s">
        <v>4333</v>
      </c>
      <c r="C1537" s="19" t="s">
        <v>4351</v>
      </c>
      <c r="D1537" s="22" t="s">
        <v>4352</v>
      </c>
      <c r="E1537" s="19" t="s">
        <v>115</v>
      </c>
      <c r="F1537" s="19" t="s">
        <v>4353</v>
      </c>
      <c r="G1537" s="19" t="s">
        <v>135</v>
      </c>
      <c r="H1537" s="22" t="s">
        <v>155</v>
      </c>
      <c r="I1537" s="25" t="s">
        <v>4354</v>
      </c>
      <c r="J1537" s="19"/>
      <c r="K1537" s="19" t="s">
        <v>74</v>
      </c>
      <c r="L1537" s="22" t="s">
        <v>723</v>
      </c>
      <c r="M1537" s="26"/>
      <c r="N1537" s="26"/>
      <c r="O1537" s="26"/>
      <c r="P1537" s="26"/>
      <c r="Q1537" s="26"/>
    </row>
    <row r="1538" ht="15.75" hidden="1" customHeight="1">
      <c r="A1538" s="31" t="s">
        <v>39</v>
      </c>
      <c r="B1538" s="9" t="s">
        <v>4333</v>
      </c>
      <c r="C1538" s="19" t="s">
        <v>4355</v>
      </c>
      <c r="D1538" s="22" t="s">
        <v>931</v>
      </c>
      <c r="E1538" s="19" t="s">
        <v>115</v>
      </c>
      <c r="F1538" s="19" t="s">
        <v>2221</v>
      </c>
      <c r="G1538" s="19" t="s">
        <v>135</v>
      </c>
      <c r="H1538" s="22" t="s">
        <v>155</v>
      </c>
      <c r="I1538" s="25" t="s">
        <v>4356</v>
      </c>
      <c r="J1538" s="19"/>
      <c r="K1538" s="19" t="s">
        <v>74</v>
      </c>
      <c r="L1538" s="22" t="s">
        <v>723</v>
      </c>
      <c r="M1538" s="26"/>
      <c r="N1538" s="26"/>
      <c r="O1538" s="26"/>
      <c r="P1538" s="26"/>
      <c r="Q1538" s="26"/>
    </row>
    <row r="1539" ht="15.75" hidden="1" customHeight="1">
      <c r="A1539" s="31" t="s">
        <v>39</v>
      </c>
      <c r="B1539" s="9" t="s">
        <v>4333</v>
      </c>
      <c r="C1539" s="19" t="s">
        <v>3881</v>
      </c>
      <c r="D1539" s="22" t="s">
        <v>4357</v>
      </c>
      <c r="E1539" s="19" t="s">
        <v>115</v>
      </c>
      <c r="F1539" s="19" t="s">
        <v>3883</v>
      </c>
      <c r="G1539" s="19" t="s">
        <v>135</v>
      </c>
      <c r="H1539" s="22" t="s">
        <v>155</v>
      </c>
      <c r="I1539" s="25" t="s">
        <v>4358</v>
      </c>
      <c r="J1539" s="19"/>
      <c r="K1539" s="19" t="s">
        <v>13</v>
      </c>
      <c r="L1539" s="22" t="s">
        <v>698</v>
      </c>
      <c r="M1539" s="26"/>
      <c r="N1539" s="26"/>
      <c r="O1539" s="26"/>
      <c r="P1539" s="26"/>
      <c r="Q1539" s="26"/>
    </row>
    <row r="1540" ht="15.75" hidden="1" customHeight="1">
      <c r="A1540" s="31" t="s">
        <v>39</v>
      </c>
      <c r="B1540" s="9" t="s">
        <v>4333</v>
      </c>
      <c r="C1540" s="19" t="s">
        <v>4359</v>
      </c>
      <c r="D1540" s="22" t="s">
        <v>4360</v>
      </c>
      <c r="E1540" s="19" t="s">
        <v>115</v>
      </c>
      <c r="F1540" s="19" t="s">
        <v>4361</v>
      </c>
      <c r="G1540" s="19" t="s">
        <v>135</v>
      </c>
      <c r="H1540" s="22" t="s">
        <v>155</v>
      </c>
      <c r="I1540" s="25" t="s">
        <v>4362</v>
      </c>
      <c r="J1540" s="19" t="s">
        <v>140</v>
      </c>
      <c r="K1540" s="19" t="s">
        <v>13</v>
      </c>
      <c r="L1540" s="22" t="s">
        <v>890</v>
      </c>
      <c r="M1540" s="26"/>
      <c r="N1540" s="26"/>
      <c r="O1540" s="26"/>
      <c r="P1540" s="26"/>
      <c r="Q1540" s="26"/>
    </row>
    <row r="1541" ht="15.75" hidden="1" customHeight="1">
      <c r="A1541" s="31" t="s">
        <v>39</v>
      </c>
      <c r="B1541" s="9" t="s">
        <v>4333</v>
      </c>
      <c r="C1541" s="19" t="s">
        <v>4363</v>
      </c>
      <c r="D1541" s="22" t="s">
        <v>3622</v>
      </c>
      <c r="E1541" s="19" t="s">
        <v>115</v>
      </c>
      <c r="F1541" s="19" t="s">
        <v>1293</v>
      </c>
      <c r="G1541" s="19" t="s">
        <v>135</v>
      </c>
      <c r="H1541" s="22" t="s">
        <v>155</v>
      </c>
      <c r="I1541" s="25" t="s">
        <v>4364</v>
      </c>
      <c r="J1541" s="19"/>
      <c r="K1541" s="19" t="s">
        <v>13</v>
      </c>
      <c r="L1541" s="22" t="s">
        <v>698</v>
      </c>
      <c r="M1541" s="26"/>
      <c r="N1541" s="26"/>
      <c r="O1541" s="26"/>
      <c r="P1541" s="26"/>
      <c r="Q1541" s="26"/>
    </row>
    <row r="1542" ht="15.75" hidden="1" customHeight="1">
      <c r="A1542" s="31" t="s">
        <v>39</v>
      </c>
      <c r="B1542" s="9" t="s">
        <v>4333</v>
      </c>
      <c r="C1542" s="19" t="s">
        <v>2138</v>
      </c>
      <c r="D1542" s="22" t="s">
        <v>4365</v>
      </c>
      <c r="E1542" s="19" t="s">
        <v>115</v>
      </c>
      <c r="F1542" s="19" t="s">
        <v>631</v>
      </c>
      <c r="G1542" s="19" t="s">
        <v>135</v>
      </c>
      <c r="H1542" s="22" t="s">
        <v>155</v>
      </c>
      <c r="I1542" s="25" t="s">
        <v>4366</v>
      </c>
      <c r="J1542" s="19"/>
      <c r="K1542" s="19" t="s">
        <v>13</v>
      </c>
      <c r="L1542" s="22" t="s">
        <v>890</v>
      </c>
      <c r="M1542" s="26"/>
      <c r="N1542" s="26"/>
      <c r="O1542" s="26"/>
      <c r="P1542" s="26"/>
      <c r="Q1542" s="26"/>
    </row>
    <row r="1543" ht="15.75" hidden="1" customHeight="1">
      <c r="A1543" s="31" t="s">
        <v>39</v>
      </c>
      <c r="B1543" s="9" t="s">
        <v>4333</v>
      </c>
      <c r="C1543" s="19" t="s">
        <v>2582</v>
      </c>
      <c r="D1543" s="22" t="s">
        <v>4367</v>
      </c>
      <c r="E1543" s="19" t="s">
        <v>115</v>
      </c>
      <c r="F1543" s="19" t="s">
        <v>2583</v>
      </c>
      <c r="G1543" s="19" t="s">
        <v>135</v>
      </c>
      <c r="H1543" s="22" t="s">
        <v>155</v>
      </c>
      <c r="I1543" s="25" t="s">
        <v>2584</v>
      </c>
      <c r="J1543" s="19"/>
      <c r="K1543" s="19" t="s">
        <v>74</v>
      </c>
      <c r="L1543" s="22" t="s">
        <v>723</v>
      </c>
      <c r="M1543" s="26"/>
      <c r="N1543" s="26"/>
      <c r="O1543" s="26"/>
      <c r="P1543" s="26"/>
      <c r="Q1543" s="26"/>
    </row>
    <row r="1544" ht="15.75" hidden="1" customHeight="1">
      <c r="A1544" s="31" t="s">
        <v>39</v>
      </c>
      <c r="B1544" s="9" t="s">
        <v>4333</v>
      </c>
      <c r="C1544" s="19" t="s">
        <v>2337</v>
      </c>
      <c r="D1544" s="22" t="s">
        <v>4368</v>
      </c>
      <c r="E1544" s="19" t="s">
        <v>115</v>
      </c>
      <c r="F1544" s="19" t="s">
        <v>2717</v>
      </c>
      <c r="G1544" s="19" t="s">
        <v>135</v>
      </c>
      <c r="H1544" s="22" t="s">
        <v>155</v>
      </c>
      <c r="I1544" s="25" t="s">
        <v>2339</v>
      </c>
      <c r="J1544" s="19" t="s">
        <v>140</v>
      </c>
      <c r="K1544" s="19" t="s">
        <v>13</v>
      </c>
      <c r="L1544" s="22" t="s">
        <v>890</v>
      </c>
      <c r="M1544" s="26"/>
      <c r="N1544" s="26"/>
      <c r="O1544" s="26"/>
      <c r="P1544" s="26"/>
      <c r="Q1544" s="26"/>
    </row>
    <row r="1545" ht="15.75" hidden="1" customHeight="1">
      <c r="A1545" s="31" t="s">
        <v>39</v>
      </c>
      <c r="B1545" s="9" t="s">
        <v>4333</v>
      </c>
      <c r="C1545" s="19" t="s">
        <v>4369</v>
      </c>
      <c r="D1545" s="22" t="s">
        <v>3184</v>
      </c>
      <c r="E1545" s="19" t="s">
        <v>115</v>
      </c>
      <c r="F1545" s="19" t="s">
        <v>2583</v>
      </c>
      <c r="G1545" s="19" t="s">
        <v>135</v>
      </c>
      <c r="H1545" s="22" t="s">
        <v>155</v>
      </c>
      <c r="I1545" s="25" t="s">
        <v>4370</v>
      </c>
      <c r="J1545" s="19"/>
      <c r="K1545" s="19" t="s">
        <v>74</v>
      </c>
      <c r="L1545" s="22" t="s">
        <v>723</v>
      </c>
      <c r="M1545" s="26"/>
      <c r="N1545" s="26"/>
      <c r="O1545" s="26"/>
      <c r="P1545" s="26"/>
      <c r="Q1545" s="26"/>
    </row>
    <row r="1546" ht="15.75" hidden="1" customHeight="1">
      <c r="A1546" s="31" t="s">
        <v>39</v>
      </c>
      <c r="B1546" s="9" t="s">
        <v>4333</v>
      </c>
      <c r="C1546" s="19" t="s">
        <v>4208</v>
      </c>
      <c r="D1546" s="22" t="s">
        <v>2501</v>
      </c>
      <c r="E1546" s="19" t="s">
        <v>115</v>
      </c>
      <c r="F1546" s="19" t="s">
        <v>4371</v>
      </c>
      <c r="G1546" s="19" t="s">
        <v>135</v>
      </c>
      <c r="H1546" s="22" t="s">
        <v>155</v>
      </c>
      <c r="I1546" s="25" t="s">
        <v>4372</v>
      </c>
      <c r="J1546" s="19" t="s">
        <v>140</v>
      </c>
      <c r="K1546" s="19" t="s">
        <v>13</v>
      </c>
      <c r="L1546" s="22" t="s">
        <v>890</v>
      </c>
      <c r="M1546" s="26"/>
      <c r="N1546" s="26"/>
      <c r="O1546" s="26"/>
      <c r="P1546" s="26"/>
      <c r="Q1546" s="26"/>
    </row>
    <row r="1547" ht="15.75" hidden="1" customHeight="1">
      <c r="A1547" s="31" t="s">
        <v>39</v>
      </c>
      <c r="B1547" s="9" t="s">
        <v>4333</v>
      </c>
      <c r="C1547" s="19" t="s">
        <v>4208</v>
      </c>
      <c r="D1547" s="22" t="s">
        <v>2501</v>
      </c>
      <c r="E1547" s="19" t="s">
        <v>115</v>
      </c>
      <c r="F1547" s="19" t="s">
        <v>4211</v>
      </c>
      <c r="G1547" s="19" t="s">
        <v>135</v>
      </c>
      <c r="H1547" s="22" t="s">
        <v>155</v>
      </c>
      <c r="I1547" s="25" t="s">
        <v>4373</v>
      </c>
      <c r="J1547" s="19"/>
      <c r="K1547" s="19" t="s">
        <v>13</v>
      </c>
      <c r="L1547" s="22" t="s">
        <v>890</v>
      </c>
      <c r="M1547" s="26"/>
      <c r="N1547" s="26"/>
      <c r="O1547" s="26"/>
      <c r="P1547" s="26"/>
      <c r="Q1547" s="26"/>
    </row>
    <row r="1548" ht="15.75" hidden="1" customHeight="1">
      <c r="A1548" s="31" t="s">
        <v>39</v>
      </c>
      <c r="B1548" s="9" t="s">
        <v>4333</v>
      </c>
      <c r="C1548" s="19" t="s">
        <v>4374</v>
      </c>
      <c r="D1548" s="22" t="s">
        <v>4329</v>
      </c>
      <c r="E1548" s="19" t="s">
        <v>115</v>
      </c>
      <c r="F1548" s="19" t="s">
        <v>4375</v>
      </c>
      <c r="G1548" s="19" t="s">
        <v>135</v>
      </c>
      <c r="H1548" s="22" t="s">
        <v>155</v>
      </c>
      <c r="I1548" s="25" t="s">
        <v>4376</v>
      </c>
      <c r="J1548" s="19"/>
      <c r="K1548" s="19" t="s">
        <v>74</v>
      </c>
      <c r="L1548" s="22" t="s">
        <v>723</v>
      </c>
      <c r="M1548" s="26"/>
      <c r="N1548" s="26"/>
      <c r="O1548" s="26"/>
      <c r="P1548" s="26"/>
      <c r="Q1548" s="26"/>
    </row>
    <row r="1549" ht="15.75" hidden="1" customHeight="1">
      <c r="A1549" s="31" t="s">
        <v>39</v>
      </c>
      <c r="B1549" s="9" t="s">
        <v>4333</v>
      </c>
      <c r="C1549" s="19" t="s">
        <v>4377</v>
      </c>
      <c r="D1549" s="22" t="s">
        <v>4378</v>
      </c>
      <c r="E1549" s="19" t="s">
        <v>115</v>
      </c>
      <c r="F1549" s="19" t="s">
        <v>4379</v>
      </c>
      <c r="G1549" s="19" t="s">
        <v>135</v>
      </c>
      <c r="H1549" s="22" t="s">
        <v>155</v>
      </c>
      <c r="I1549" s="25" t="s">
        <v>4380</v>
      </c>
      <c r="J1549" s="19"/>
      <c r="K1549" s="19" t="s">
        <v>74</v>
      </c>
      <c r="L1549" s="22" t="s">
        <v>723</v>
      </c>
      <c r="M1549" s="26"/>
      <c r="N1549" s="26"/>
      <c r="O1549" s="26"/>
      <c r="P1549" s="26"/>
      <c r="Q1549" s="26"/>
    </row>
    <row r="1550" ht="15.75" hidden="1" customHeight="1">
      <c r="A1550" s="31" t="s">
        <v>39</v>
      </c>
      <c r="B1550" s="9" t="s">
        <v>4333</v>
      </c>
      <c r="C1550" s="19" t="s">
        <v>808</v>
      </c>
      <c r="D1550" s="22" t="s">
        <v>3622</v>
      </c>
      <c r="E1550" s="19" t="s">
        <v>115</v>
      </c>
      <c r="F1550" s="19" t="s">
        <v>421</v>
      </c>
      <c r="G1550" s="19" t="s">
        <v>135</v>
      </c>
      <c r="H1550" s="22" t="s">
        <v>155</v>
      </c>
      <c r="I1550" s="25" t="s">
        <v>4381</v>
      </c>
      <c r="J1550" s="19"/>
      <c r="K1550" s="19" t="s">
        <v>13</v>
      </c>
      <c r="L1550" s="22" t="s">
        <v>890</v>
      </c>
      <c r="M1550" s="26"/>
      <c r="N1550" s="26"/>
      <c r="O1550" s="26"/>
      <c r="P1550" s="26"/>
      <c r="Q1550" s="26"/>
    </row>
    <row r="1551" ht="15.75" hidden="1" customHeight="1">
      <c r="A1551" s="31" t="s">
        <v>39</v>
      </c>
      <c r="B1551" s="9" t="s">
        <v>4333</v>
      </c>
      <c r="C1551" s="19" t="s">
        <v>4382</v>
      </c>
      <c r="D1551" s="22" t="s">
        <v>4383</v>
      </c>
      <c r="E1551" s="19" t="s">
        <v>115</v>
      </c>
      <c r="F1551" s="19" t="s">
        <v>4384</v>
      </c>
      <c r="G1551" s="19" t="s">
        <v>135</v>
      </c>
      <c r="H1551" s="22" t="s">
        <v>155</v>
      </c>
      <c r="I1551" s="25" t="s">
        <v>4385</v>
      </c>
      <c r="J1551" s="19" t="s">
        <v>140</v>
      </c>
      <c r="K1551" s="19" t="s">
        <v>13</v>
      </c>
      <c r="L1551" s="22" t="s">
        <v>890</v>
      </c>
      <c r="M1551" s="26"/>
      <c r="N1551" s="26"/>
      <c r="O1551" s="26"/>
      <c r="P1551" s="26"/>
      <c r="Q1551" s="26"/>
    </row>
    <row r="1552" ht="15.75" hidden="1" customHeight="1">
      <c r="A1552" s="31" t="s">
        <v>39</v>
      </c>
      <c r="B1552" s="9" t="s">
        <v>4333</v>
      </c>
      <c r="C1552" s="19" t="s">
        <v>4386</v>
      </c>
      <c r="D1552" s="22" t="s">
        <v>4387</v>
      </c>
      <c r="E1552" s="19" t="s">
        <v>115</v>
      </c>
      <c r="F1552" s="19" t="s">
        <v>4388</v>
      </c>
      <c r="G1552" s="19" t="s">
        <v>135</v>
      </c>
      <c r="H1552" s="22" t="s">
        <v>155</v>
      </c>
      <c r="I1552" s="25" t="s">
        <v>4389</v>
      </c>
      <c r="J1552" s="19"/>
      <c r="K1552" s="19" t="s">
        <v>13</v>
      </c>
      <c r="L1552" s="22" t="s">
        <v>698</v>
      </c>
      <c r="M1552" s="26"/>
      <c r="N1552" s="26"/>
      <c r="O1552" s="26"/>
      <c r="P1552" s="26"/>
      <c r="Q1552" s="26"/>
    </row>
    <row r="1553" ht="15.75" hidden="1" customHeight="1">
      <c r="A1553" s="31" t="s">
        <v>39</v>
      </c>
      <c r="B1553" s="9" t="s">
        <v>4390</v>
      </c>
      <c r="C1553" s="19" t="s">
        <v>4391</v>
      </c>
      <c r="D1553" s="22" t="s">
        <v>4365</v>
      </c>
      <c r="E1553" s="19" t="s">
        <v>115</v>
      </c>
      <c r="F1553" s="19" t="s">
        <v>295</v>
      </c>
      <c r="G1553" s="19" t="s">
        <v>135</v>
      </c>
      <c r="H1553" s="22" t="s">
        <v>365</v>
      </c>
      <c r="I1553" s="25" t="s">
        <v>4392</v>
      </c>
      <c r="J1553" s="19"/>
      <c r="K1553" s="19" t="s">
        <v>40</v>
      </c>
      <c r="L1553" s="22"/>
      <c r="M1553" s="26"/>
      <c r="N1553" s="26"/>
      <c r="O1553" s="26"/>
      <c r="P1553" s="26"/>
      <c r="Q1553" s="26"/>
    </row>
    <row r="1554" ht="15.75" hidden="1" customHeight="1">
      <c r="A1554" s="31" t="s">
        <v>39</v>
      </c>
      <c r="B1554" s="9" t="s">
        <v>4390</v>
      </c>
      <c r="C1554" s="19" t="s">
        <v>3207</v>
      </c>
      <c r="D1554" s="22" t="s">
        <v>4393</v>
      </c>
      <c r="E1554" s="19" t="s">
        <v>121</v>
      </c>
      <c r="F1554" s="19" t="s">
        <v>241</v>
      </c>
      <c r="G1554" s="19" t="s">
        <v>57</v>
      </c>
      <c r="H1554" s="22" t="s">
        <v>155</v>
      </c>
      <c r="I1554" s="25" t="s">
        <v>4394</v>
      </c>
      <c r="J1554" s="19" t="s">
        <v>3213</v>
      </c>
      <c r="K1554" s="19" t="s">
        <v>94</v>
      </c>
      <c r="L1554" s="22"/>
      <c r="M1554" s="26"/>
      <c r="N1554" s="26"/>
      <c r="O1554" s="26"/>
      <c r="P1554" s="26"/>
      <c r="Q1554" s="26"/>
    </row>
    <row r="1555" ht="15.75" hidden="1" customHeight="1">
      <c r="A1555" s="31" t="s">
        <v>39</v>
      </c>
      <c r="B1555" s="9" t="s">
        <v>4390</v>
      </c>
      <c r="C1555" s="19" t="s">
        <v>1431</v>
      </c>
      <c r="D1555" s="22" t="s">
        <v>4395</v>
      </c>
      <c r="E1555" s="19" t="s">
        <v>121</v>
      </c>
      <c r="F1555" s="19" t="s">
        <v>1433</v>
      </c>
      <c r="G1555" s="19" t="s">
        <v>57</v>
      </c>
      <c r="H1555" s="22" t="s">
        <v>155</v>
      </c>
      <c r="I1555" s="25" t="s">
        <v>4396</v>
      </c>
      <c r="J1555" s="19"/>
      <c r="K1555" s="19" t="s">
        <v>117</v>
      </c>
      <c r="L1555" s="22" t="s">
        <v>4397</v>
      </c>
      <c r="M1555" s="26"/>
      <c r="N1555" s="26"/>
      <c r="O1555" s="26"/>
      <c r="P1555" s="26"/>
      <c r="Q1555" s="26"/>
    </row>
    <row r="1556" ht="15.75" hidden="1" customHeight="1">
      <c r="A1556" s="31" t="s">
        <v>39</v>
      </c>
      <c r="B1556" s="9" t="s">
        <v>4390</v>
      </c>
      <c r="C1556" s="19" t="s">
        <v>4398</v>
      </c>
      <c r="D1556" s="22" t="s">
        <v>4399</v>
      </c>
      <c r="E1556" s="19" t="s">
        <v>121</v>
      </c>
      <c r="F1556" s="19" t="s">
        <v>521</v>
      </c>
      <c r="G1556" s="19" t="s">
        <v>57</v>
      </c>
      <c r="H1556" s="22" t="s">
        <v>155</v>
      </c>
      <c r="I1556" s="25" t="s">
        <v>4400</v>
      </c>
      <c r="J1556" s="19" t="s">
        <v>273</v>
      </c>
      <c r="K1556" s="19" t="s">
        <v>94</v>
      </c>
      <c r="L1556" s="22"/>
      <c r="M1556" s="26"/>
      <c r="N1556" s="26"/>
      <c r="O1556" s="26"/>
      <c r="P1556" s="26"/>
      <c r="Q1556" s="26"/>
    </row>
    <row r="1557" ht="15.75" hidden="1" customHeight="1">
      <c r="A1557" s="31" t="s">
        <v>39</v>
      </c>
      <c r="B1557" s="9" t="s">
        <v>4390</v>
      </c>
      <c r="C1557" s="19" t="s">
        <v>4401</v>
      </c>
      <c r="D1557" s="22" t="s">
        <v>4399</v>
      </c>
      <c r="E1557" s="19" t="s">
        <v>121</v>
      </c>
      <c r="F1557" s="19" t="s">
        <v>521</v>
      </c>
      <c r="G1557" s="19" t="s">
        <v>57</v>
      </c>
      <c r="H1557" s="22" t="s">
        <v>155</v>
      </c>
      <c r="I1557" s="25" t="s">
        <v>4402</v>
      </c>
      <c r="J1557" s="19" t="s">
        <v>373</v>
      </c>
      <c r="K1557" s="19" t="s">
        <v>130</v>
      </c>
      <c r="L1557" s="22"/>
      <c r="M1557" s="26"/>
      <c r="N1557" s="26"/>
      <c r="O1557" s="26"/>
      <c r="P1557" s="26"/>
      <c r="Q1557" s="26"/>
    </row>
    <row r="1558" ht="15.75" hidden="1" customHeight="1">
      <c r="A1558" s="31" t="s">
        <v>39</v>
      </c>
      <c r="B1558" s="9" t="s">
        <v>4390</v>
      </c>
      <c r="C1558" s="19" t="s">
        <v>3290</v>
      </c>
      <c r="D1558" s="22" t="s">
        <v>4403</v>
      </c>
      <c r="E1558" s="19" t="s">
        <v>121</v>
      </c>
      <c r="F1558" s="19" t="s">
        <v>4404</v>
      </c>
      <c r="G1558" s="19" t="s">
        <v>57</v>
      </c>
      <c r="H1558" s="22" t="s">
        <v>155</v>
      </c>
      <c r="I1558" s="25" t="s">
        <v>3292</v>
      </c>
      <c r="J1558" s="19" t="s">
        <v>456</v>
      </c>
      <c r="K1558" s="19" t="s">
        <v>105</v>
      </c>
      <c r="L1558" s="22"/>
      <c r="M1558" s="26"/>
      <c r="N1558" s="26"/>
      <c r="O1558" s="26"/>
      <c r="P1558" s="26"/>
      <c r="Q1558" s="26"/>
    </row>
    <row r="1559" ht="15.75" hidden="1" customHeight="1">
      <c r="A1559" s="31" t="s">
        <v>39</v>
      </c>
      <c r="B1559" s="9" t="s">
        <v>4390</v>
      </c>
      <c r="C1559" s="19" t="s">
        <v>2337</v>
      </c>
      <c r="D1559" s="22" t="s">
        <v>4405</v>
      </c>
      <c r="E1559" s="19" t="s">
        <v>115</v>
      </c>
      <c r="F1559" s="19" t="s">
        <v>295</v>
      </c>
      <c r="G1559" s="19" t="s">
        <v>135</v>
      </c>
      <c r="H1559" s="22" t="s">
        <v>365</v>
      </c>
      <c r="I1559" s="25" t="s">
        <v>2339</v>
      </c>
      <c r="J1559" s="19" t="s">
        <v>140</v>
      </c>
      <c r="K1559" s="19" t="s">
        <v>13</v>
      </c>
      <c r="L1559" s="22"/>
      <c r="M1559" s="26"/>
      <c r="N1559" s="26"/>
      <c r="O1559" s="26"/>
      <c r="P1559" s="26"/>
      <c r="Q1559" s="26"/>
    </row>
    <row r="1560" ht="15.75" hidden="1" customHeight="1">
      <c r="A1560" s="31" t="s">
        <v>39</v>
      </c>
      <c r="B1560" s="9" t="s">
        <v>4390</v>
      </c>
      <c r="C1560" s="19" t="s">
        <v>3979</v>
      </c>
      <c r="D1560" s="22" t="s">
        <v>4406</v>
      </c>
      <c r="E1560" s="19" t="s">
        <v>129</v>
      </c>
      <c r="F1560" s="19" t="s">
        <v>2221</v>
      </c>
      <c r="G1560" s="19" t="s">
        <v>57</v>
      </c>
      <c r="H1560" s="22" t="s">
        <v>155</v>
      </c>
      <c r="I1560" s="25" t="s">
        <v>4407</v>
      </c>
      <c r="J1560" s="19"/>
      <c r="K1560" s="19" t="s">
        <v>74</v>
      </c>
      <c r="L1560" s="22"/>
      <c r="M1560" s="26"/>
      <c r="N1560" s="26"/>
      <c r="O1560" s="26"/>
      <c r="P1560" s="26"/>
      <c r="Q1560" s="26"/>
    </row>
    <row r="1561" ht="15.75" hidden="1" customHeight="1">
      <c r="A1561" s="31" t="s">
        <v>39</v>
      </c>
      <c r="B1561" s="9" t="s">
        <v>4390</v>
      </c>
      <c r="C1561" s="19" t="s">
        <v>4408</v>
      </c>
      <c r="D1561" s="22" t="s">
        <v>2501</v>
      </c>
      <c r="E1561" s="19" t="s">
        <v>115</v>
      </c>
      <c r="F1561" s="19" t="s">
        <v>295</v>
      </c>
      <c r="G1561" s="19" t="s">
        <v>135</v>
      </c>
      <c r="H1561" s="22" t="s">
        <v>365</v>
      </c>
      <c r="I1561" s="25" t="s">
        <v>4409</v>
      </c>
      <c r="J1561" s="19" t="s">
        <v>140</v>
      </c>
      <c r="K1561" s="19" t="s">
        <v>40</v>
      </c>
      <c r="L1561" s="22" t="s">
        <v>4410</v>
      </c>
      <c r="M1561" s="26"/>
      <c r="N1561" s="26"/>
      <c r="O1561" s="26"/>
      <c r="P1561" s="26"/>
      <c r="Q1561" s="26"/>
    </row>
    <row r="1562" ht="15.75" hidden="1" customHeight="1">
      <c r="A1562" s="31" t="s">
        <v>39</v>
      </c>
      <c r="B1562" s="9" t="s">
        <v>4390</v>
      </c>
      <c r="C1562" s="19" t="s">
        <v>4411</v>
      </c>
      <c r="D1562" s="22" t="s">
        <v>4412</v>
      </c>
      <c r="E1562" s="19" t="s">
        <v>54</v>
      </c>
      <c r="F1562" s="19" t="s">
        <v>4413</v>
      </c>
      <c r="G1562" s="19" t="s">
        <v>57</v>
      </c>
      <c r="H1562" s="32" t="s">
        <v>2956</v>
      </c>
      <c r="I1562" s="25" t="s">
        <v>4414</v>
      </c>
      <c r="J1562" s="19" t="s">
        <v>443</v>
      </c>
      <c r="K1562" s="19" t="s">
        <v>130</v>
      </c>
      <c r="L1562" s="22" t="s">
        <v>4415</v>
      </c>
      <c r="M1562" s="26"/>
      <c r="N1562" s="26"/>
      <c r="O1562" s="26"/>
      <c r="P1562" s="26"/>
      <c r="Q1562" s="26"/>
    </row>
    <row r="1563" ht="15.75" hidden="1" customHeight="1">
      <c r="A1563" s="31" t="s">
        <v>39</v>
      </c>
      <c r="B1563" s="9" t="s">
        <v>4390</v>
      </c>
      <c r="C1563" s="19" t="s">
        <v>1259</v>
      </c>
      <c r="D1563" s="22" t="s">
        <v>4416</v>
      </c>
      <c r="E1563" s="19" t="s">
        <v>121</v>
      </c>
      <c r="F1563" s="19" t="s">
        <v>1167</v>
      </c>
      <c r="G1563" s="19" t="s">
        <v>57</v>
      </c>
      <c r="H1563" s="22" t="s">
        <v>155</v>
      </c>
      <c r="I1563" s="25" t="s">
        <v>4417</v>
      </c>
      <c r="J1563" s="19" t="s">
        <v>926</v>
      </c>
      <c r="K1563" s="19" t="s">
        <v>94</v>
      </c>
      <c r="L1563" s="22"/>
      <c r="M1563" s="26"/>
      <c r="N1563" s="26"/>
      <c r="O1563" s="26"/>
      <c r="P1563" s="26"/>
      <c r="Q1563" s="26"/>
    </row>
    <row r="1564" ht="15.75" hidden="1" customHeight="1">
      <c r="A1564" s="31" t="s">
        <v>39</v>
      </c>
      <c r="B1564" s="9" t="s">
        <v>4390</v>
      </c>
      <c r="C1564" s="19" t="s">
        <v>1259</v>
      </c>
      <c r="D1564" s="22" t="s">
        <v>4418</v>
      </c>
      <c r="E1564" s="19" t="s">
        <v>121</v>
      </c>
      <c r="F1564" s="19" t="s">
        <v>1167</v>
      </c>
      <c r="G1564" s="19" t="s">
        <v>57</v>
      </c>
      <c r="H1564" s="22" t="s">
        <v>155</v>
      </c>
      <c r="I1564" s="25" t="s">
        <v>4419</v>
      </c>
      <c r="J1564" s="19"/>
      <c r="K1564" s="19" t="s">
        <v>99</v>
      </c>
      <c r="L1564" s="22" t="s">
        <v>1846</v>
      </c>
      <c r="M1564" s="26"/>
      <c r="N1564" s="26"/>
      <c r="O1564" s="26"/>
      <c r="P1564" s="26"/>
      <c r="Q1564" s="26"/>
    </row>
    <row r="1565" ht="15.75" hidden="1" customHeight="1">
      <c r="A1565" s="31" t="s">
        <v>39</v>
      </c>
      <c r="B1565" s="9" t="s">
        <v>4420</v>
      </c>
      <c r="C1565" s="19" t="s">
        <v>4421</v>
      </c>
      <c r="D1565" s="22" t="s">
        <v>4422</v>
      </c>
      <c r="E1565" s="19" t="s">
        <v>127</v>
      </c>
      <c r="F1565" s="19" t="s">
        <v>4423</v>
      </c>
      <c r="G1565" s="19" t="s">
        <v>57</v>
      </c>
      <c r="H1565" s="22" t="s">
        <v>365</v>
      </c>
      <c r="I1565" s="25" t="s">
        <v>4424</v>
      </c>
      <c r="J1565" s="19" t="s">
        <v>2193</v>
      </c>
      <c r="K1565" s="19" t="s">
        <v>66</v>
      </c>
      <c r="L1565" s="22"/>
      <c r="M1565" s="26"/>
      <c r="N1565" s="26"/>
      <c r="O1565" s="26"/>
      <c r="P1565" s="26"/>
      <c r="Q1565" s="26"/>
    </row>
    <row r="1566" ht="15.75" hidden="1" customHeight="1">
      <c r="A1566" s="31" t="s">
        <v>39</v>
      </c>
      <c r="B1566" s="9" t="s">
        <v>4420</v>
      </c>
      <c r="C1566" s="19" t="s">
        <v>4425</v>
      </c>
      <c r="D1566" s="22" t="s">
        <v>1765</v>
      </c>
      <c r="E1566" s="19" t="s">
        <v>119</v>
      </c>
      <c r="F1566" s="19" t="s">
        <v>241</v>
      </c>
      <c r="G1566" s="19" t="s">
        <v>135</v>
      </c>
      <c r="H1566" s="22" t="s">
        <v>365</v>
      </c>
      <c r="I1566" s="25" t="s">
        <v>4426</v>
      </c>
      <c r="J1566" s="19"/>
      <c r="K1566" s="19" t="s">
        <v>40</v>
      </c>
      <c r="L1566" s="22"/>
      <c r="M1566" s="26"/>
      <c r="N1566" s="26"/>
      <c r="O1566" s="26"/>
      <c r="P1566" s="26"/>
      <c r="Q1566" s="26"/>
    </row>
    <row r="1567" ht="15.75" hidden="1" customHeight="1">
      <c r="A1567" s="31" t="s">
        <v>39</v>
      </c>
      <c r="B1567" s="9" t="s">
        <v>4420</v>
      </c>
      <c r="C1567" s="19" t="s">
        <v>4427</v>
      </c>
      <c r="D1567" s="22" t="s">
        <v>1765</v>
      </c>
      <c r="E1567" s="19" t="s">
        <v>119</v>
      </c>
      <c r="F1567" s="19" t="s">
        <v>868</v>
      </c>
      <c r="G1567" s="19" t="s">
        <v>135</v>
      </c>
      <c r="H1567" s="22" t="s">
        <v>365</v>
      </c>
      <c r="I1567" s="25" t="s">
        <v>4428</v>
      </c>
      <c r="J1567" s="19" t="s">
        <v>337</v>
      </c>
      <c r="K1567" s="19" t="s">
        <v>82</v>
      </c>
      <c r="L1567" s="22"/>
      <c r="M1567" s="26"/>
      <c r="N1567" s="26"/>
      <c r="O1567" s="26"/>
      <c r="P1567" s="26"/>
      <c r="Q1567" s="26"/>
    </row>
    <row r="1568" ht="15.75" hidden="1" customHeight="1">
      <c r="A1568" s="31" t="s">
        <v>39</v>
      </c>
      <c r="B1568" s="9" t="s">
        <v>4429</v>
      </c>
      <c r="C1568" s="19" t="s">
        <v>4430</v>
      </c>
      <c r="D1568" s="22" t="s">
        <v>4431</v>
      </c>
      <c r="E1568" s="19" t="s">
        <v>129</v>
      </c>
      <c r="F1568" s="19" t="s">
        <v>295</v>
      </c>
      <c r="G1568" s="19" t="s">
        <v>135</v>
      </c>
      <c r="H1568" s="22" t="s">
        <v>155</v>
      </c>
      <c r="I1568" s="25" t="s">
        <v>4432</v>
      </c>
      <c r="J1568" s="19"/>
      <c r="K1568" s="19" t="s">
        <v>74</v>
      </c>
      <c r="L1568" s="22" t="s">
        <v>723</v>
      </c>
      <c r="M1568" s="26"/>
      <c r="N1568" s="26"/>
      <c r="O1568" s="26"/>
      <c r="P1568" s="26"/>
      <c r="Q1568" s="26"/>
    </row>
    <row r="1569" ht="15.75" hidden="1" customHeight="1">
      <c r="A1569" s="31" t="s">
        <v>39</v>
      </c>
      <c r="B1569" s="9" t="s">
        <v>4433</v>
      </c>
      <c r="C1569" s="19" t="s">
        <v>4434</v>
      </c>
      <c r="D1569" s="22" t="s">
        <v>4435</v>
      </c>
      <c r="E1569" s="19" t="s">
        <v>115</v>
      </c>
      <c r="F1569" s="19" t="s">
        <v>2727</v>
      </c>
      <c r="G1569" s="19" t="s">
        <v>135</v>
      </c>
      <c r="H1569" s="22" t="s">
        <v>365</v>
      </c>
      <c r="I1569" s="25" t="s">
        <v>4436</v>
      </c>
      <c r="J1569" s="19"/>
      <c r="K1569" s="19" t="s">
        <v>13</v>
      </c>
      <c r="L1569" s="22"/>
      <c r="M1569" s="26"/>
      <c r="N1569" s="26"/>
      <c r="O1569" s="26"/>
      <c r="P1569" s="26"/>
      <c r="Q1569" s="26"/>
    </row>
    <row r="1570" ht="15.75" hidden="1" customHeight="1">
      <c r="A1570" s="31" t="s">
        <v>39</v>
      </c>
      <c r="B1570" s="9" t="s">
        <v>4433</v>
      </c>
      <c r="C1570" s="19" t="s">
        <v>4437</v>
      </c>
      <c r="D1570" s="22" t="s">
        <v>4438</v>
      </c>
      <c r="E1570" s="19" t="s">
        <v>115</v>
      </c>
      <c r="F1570" s="19" t="s">
        <v>4439</v>
      </c>
      <c r="G1570" s="19" t="s">
        <v>135</v>
      </c>
      <c r="H1570" s="22" t="s">
        <v>365</v>
      </c>
      <c r="I1570" s="25" t="s">
        <v>4440</v>
      </c>
      <c r="J1570" s="19" t="s">
        <v>140</v>
      </c>
      <c r="K1570" s="19" t="s">
        <v>13</v>
      </c>
      <c r="L1570" s="22"/>
      <c r="M1570" s="26"/>
      <c r="N1570" s="26"/>
      <c r="O1570" s="26"/>
      <c r="P1570" s="26"/>
      <c r="Q1570" s="26"/>
    </row>
    <row r="1571" ht="15.75" hidden="1" customHeight="1">
      <c r="A1571" s="31" t="s">
        <v>39</v>
      </c>
      <c r="B1571" s="9" t="s">
        <v>4433</v>
      </c>
      <c r="C1571" s="19" t="s">
        <v>3808</v>
      </c>
      <c r="D1571" s="22" t="s">
        <v>4441</v>
      </c>
      <c r="E1571" s="19" t="s">
        <v>115</v>
      </c>
      <c r="F1571" s="19" t="s">
        <v>2162</v>
      </c>
      <c r="G1571" s="19" t="s">
        <v>135</v>
      </c>
      <c r="H1571" s="22" t="s">
        <v>365</v>
      </c>
      <c r="I1571" s="25" t="s">
        <v>4442</v>
      </c>
      <c r="J1571" s="19"/>
      <c r="K1571" s="19" t="s">
        <v>13</v>
      </c>
      <c r="L1571" s="22"/>
      <c r="M1571" s="26"/>
      <c r="N1571" s="26"/>
      <c r="O1571" s="26"/>
      <c r="P1571" s="26"/>
      <c r="Q1571" s="26"/>
    </row>
    <row r="1572" ht="15.75" hidden="1" customHeight="1">
      <c r="A1572" s="31" t="s">
        <v>39</v>
      </c>
      <c r="B1572" s="9" t="s">
        <v>4433</v>
      </c>
      <c r="C1572" s="19" t="s">
        <v>2229</v>
      </c>
      <c r="D1572" s="22" t="s">
        <v>3622</v>
      </c>
      <c r="E1572" s="19" t="s">
        <v>115</v>
      </c>
      <c r="F1572" s="19" t="s">
        <v>2231</v>
      </c>
      <c r="G1572" s="19" t="s">
        <v>135</v>
      </c>
      <c r="H1572" s="22" t="s">
        <v>365</v>
      </c>
      <c r="I1572" s="25" t="s">
        <v>2232</v>
      </c>
      <c r="J1572" s="19"/>
      <c r="K1572" s="19" t="s">
        <v>40</v>
      </c>
      <c r="L1572" s="22"/>
      <c r="M1572" s="26"/>
      <c r="N1572" s="26"/>
      <c r="O1572" s="26"/>
      <c r="P1572" s="26"/>
      <c r="Q1572" s="26"/>
    </row>
    <row r="1573" ht="15.75" hidden="1" customHeight="1">
      <c r="A1573" s="31" t="s">
        <v>39</v>
      </c>
      <c r="B1573" s="9" t="s">
        <v>4433</v>
      </c>
      <c r="C1573" s="19" t="s">
        <v>3996</v>
      </c>
      <c r="D1573" s="22" t="s">
        <v>4443</v>
      </c>
      <c r="E1573" s="19" t="s">
        <v>115</v>
      </c>
      <c r="F1573" s="19" t="s">
        <v>521</v>
      </c>
      <c r="G1573" s="19" t="s">
        <v>135</v>
      </c>
      <c r="H1573" s="22" t="s">
        <v>365</v>
      </c>
      <c r="I1573" s="25" t="s">
        <v>4444</v>
      </c>
      <c r="J1573" s="19"/>
      <c r="K1573" s="19" t="s">
        <v>40</v>
      </c>
      <c r="L1573" s="22"/>
      <c r="M1573" s="26"/>
      <c r="N1573" s="26"/>
      <c r="O1573" s="26"/>
      <c r="P1573" s="26"/>
      <c r="Q1573" s="26"/>
    </row>
    <row r="1574" ht="15.75" hidden="1" customHeight="1">
      <c r="A1574" s="31" t="s">
        <v>39</v>
      </c>
      <c r="B1574" s="9" t="s">
        <v>4433</v>
      </c>
      <c r="C1574" s="19" t="s">
        <v>3224</v>
      </c>
      <c r="D1574" s="22" t="s">
        <v>2694</v>
      </c>
      <c r="E1574" s="19" t="s">
        <v>115</v>
      </c>
      <c r="F1574" s="19" t="s">
        <v>2201</v>
      </c>
      <c r="G1574" s="19" t="s">
        <v>135</v>
      </c>
      <c r="H1574" s="22" t="s">
        <v>365</v>
      </c>
      <c r="I1574" s="25" t="s">
        <v>3841</v>
      </c>
      <c r="J1574" s="19"/>
      <c r="K1574" s="19" t="s">
        <v>117</v>
      </c>
      <c r="L1574" s="22"/>
      <c r="M1574" s="26"/>
      <c r="N1574" s="26"/>
      <c r="O1574" s="26"/>
      <c r="P1574" s="26"/>
      <c r="Q1574" s="26"/>
    </row>
    <row r="1575" ht="15.75" hidden="1" customHeight="1">
      <c r="A1575" s="31" t="s">
        <v>39</v>
      </c>
      <c r="B1575" s="9" t="s">
        <v>4433</v>
      </c>
      <c r="C1575" s="19" t="s">
        <v>4445</v>
      </c>
      <c r="D1575" s="22" t="s">
        <v>3622</v>
      </c>
      <c r="E1575" s="19" t="s">
        <v>115</v>
      </c>
      <c r="F1575" s="19" t="s">
        <v>631</v>
      </c>
      <c r="G1575" s="19" t="s">
        <v>135</v>
      </c>
      <c r="H1575" s="22" t="s">
        <v>365</v>
      </c>
      <c r="I1575" s="25" t="s">
        <v>4446</v>
      </c>
      <c r="J1575" s="19"/>
      <c r="K1575" s="19" t="s">
        <v>40</v>
      </c>
      <c r="L1575" s="22"/>
      <c r="M1575" s="26"/>
      <c r="N1575" s="26"/>
      <c r="O1575" s="26"/>
      <c r="P1575" s="26"/>
      <c r="Q1575" s="26"/>
    </row>
    <row r="1576" ht="15.75" hidden="1" customHeight="1">
      <c r="A1576" s="31" t="s">
        <v>39</v>
      </c>
      <c r="B1576" s="9" t="s">
        <v>4433</v>
      </c>
      <c r="C1576" s="19" t="s">
        <v>4447</v>
      </c>
      <c r="D1576" s="22" t="s">
        <v>2694</v>
      </c>
      <c r="E1576" s="19" t="s">
        <v>115</v>
      </c>
      <c r="F1576" s="19" t="s">
        <v>4284</v>
      </c>
      <c r="G1576" s="19" t="s">
        <v>135</v>
      </c>
      <c r="H1576" s="22" t="s">
        <v>365</v>
      </c>
      <c r="I1576" s="25" t="s">
        <v>4448</v>
      </c>
      <c r="J1576" s="19" t="s">
        <v>1349</v>
      </c>
      <c r="K1576" s="19" t="s">
        <v>40</v>
      </c>
      <c r="L1576" s="22"/>
      <c r="M1576" s="26"/>
      <c r="N1576" s="26"/>
      <c r="O1576" s="26"/>
      <c r="P1576" s="26"/>
      <c r="Q1576" s="26"/>
    </row>
    <row r="1577" ht="15.75" hidden="1" customHeight="1">
      <c r="A1577" s="31" t="s">
        <v>39</v>
      </c>
      <c r="B1577" s="9" t="s">
        <v>4433</v>
      </c>
      <c r="C1577" s="19" t="s">
        <v>3863</v>
      </c>
      <c r="D1577" s="22" t="s">
        <v>4449</v>
      </c>
      <c r="E1577" s="19" t="s">
        <v>115</v>
      </c>
      <c r="F1577" s="19" t="s">
        <v>3314</v>
      </c>
      <c r="G1577" s="19" t="s">
        <v>135</v>
      </c>
      <c r="H1577" s="22" t="s">
        <v>365</v>
      </c>
      <c r="I1577" s="25" t="s">
        <v>3864</v>
      </c>
      <c r="J1577" s="19"/>
      <c r="K1577" s="19" t="s">
        <v>13</v>
      </c>
      <c r="L1577" s="22"/>
      <c r="M1577" s="26"/>
      <c r="N1577" s="26"/>
      <c r="O1577" s="26"/>
      <c r="P1577" s="26"/>
      <c r="Q1577" s="26"/>
    </row>
    <row r="1578" ht="15.75" hidden="1" customHeight="1">
      <c r="A1578" s="31" t="s">
        <v>39</v>
      </c>
      <c r="B1578" s="9" t="s">
        <v>4433</v>
      </c>
      <c r="C1578" s="19" t="s">
        <v>4450</v>
      </c>
      <c r="D1578" s="22" t="s">
        <v>4451</v>
      </c>
      <c r="E1578" s="19" t="s">
        <v>115</v>
      </c>
      <c r="F1578" s="19" t="s">
        <v>631</v>
      </c>
      <c r="G1578" s="19" t="s">
        <v>135</v>
      </c>
      <c r="H1578" s="22" t="s">
        <v>365</v>
      </c>
      <c r="I1578" s="25" t="s">
        <v>4452</v>
      </c>
      <c r="J1578" s="19" t="s">
        <v>4453</v>
      </c>
      <c r="K1578" s="19" t="s">
        <v>40</v>
      </c>
      <c r="L1578" s="22"/>
      <c r="M1578" s="26"/>
      <c r="N1578" s="26"/>
      <c r="O1578" s="26"/>
      <c r="P1578" s="26"/>
      <c r="Q1578" s="26"/>
    </row>
    <row r="1579" ht="15.75" hidden="1" customHeight="1">
      <c r="A1579" s="31" t="s">
        <v>39</v>
      </c>
      <c r="B1579" s="9" t="s">
        <v>4433</v>
      </c>
      <c r="C1579" s="19" t="s">
        <v>4454</v>
      </c>
      <c r="D1579" s="22" t="s">
        <v>4455</v>
      </c>
      <c r="E1579" s="19" t="s">
        <v>115</v>
      </c>
      <c r="F1579" s="19" t="s">
        <v>4456</v>
      </c>
      <c r="G1579" s="19" t="s">
        <v>135</v>
      </c>
      <c r="H1579" s="22" t="s">
        <v>365</v>
      </c>
      <c r="I1579" s="25" t="s">
        <v>4457</v>
      </c>
      <c r="J1579" s="19"/>
      <c r="K1579" s="19" t="s">
        <v>40</v>
      </c>
      <c r="L1579" s="22"/>
      <c r="M1579" s="26"/>
      <c r="N1579" s="26"/>
      <c r="O1579" s="26"/>
      <c r="P1579" s="26"/>
      <c r="Q1579" s="26"/>
    </row>
    <row r="1580" ht="15.75" hidden="1" customHeight="1">
      <c r="A1580" s="31" t="s">
        <v>39</v>
      </c>
      <c r="B1580" s="9" t="s">
        <v>4433</v>
      </c>
      <c r="C1580" s="19" t="s">
        <v>4458</v>
      </c>
      <c r="D1580" s="22" t="s">
        <v>4459</v>
      </c>
      <c r="E1580" s="19" t="s">
        <v>115</v>
      </c>
      <c r="F1580" s="19" t="s">
        <v>3973</v>
      </c>
      <c r="G1580" s="19" t="s">
        <v>142</v>
      </c>
      <c r="H1580" s="22" t="s">
        <v>365</v>
      </c>
      <c r="I1580" s="25" t="s">
        <v>4460</v>
      </c>
      <c r="J1580" s="19" t="s">
        <v>304</v>
      </c>
      <c r="K1580" s="19" t="s">
        <v>66</v>
      </c>
      <c r="L1580" s="22" t="s">
        <v>4461</v>
      </c>
      <c r="M1580" s="26"/>
      <c r="N1580" s="26"/>
      <c r="O1580" s="26"/>
      <c r="P1580" s="26"/>
      <c r="Q1580" s="26"/>
    </row>
    <row r="1581" ht="15.75" hidden="1" customHeight="1">
      <c r="A1581" s="31" t="s">
        <v>39</v>
      </c>
      <c r="B1581" s="9" t="s">
        <v>4433</v>
      </c>
      <c r="C1581" s="19" t="s">
        <v>2424</v>
      </c>
      <c r="D1581" s="22" t="s">
        <v>2501</v>
      </c>
      <c r="E1581" s="19" t="s">
        <v>115</v>
      </c>
      <c r="F1581" s="19" t="s">
        <v>241</v>
      </c>
      <c r="G1581" s="19" t="s">
        <v>135</v>
      </c>
      <c r="H1581" s="22" t="s">
        <v>365</v>
      </c>
      <c r="I1581" s="25" t="s">
        <v>4462</v>
      </c>
      <c r="J1581" s="19" t="s">
        <v>140</v>
      </c>
      <c r="K1581" s="19" t="s">
        <v>13</v>
      </c>
      <c r="L1581" s="22"/>
      <c r="M1581" s="26"/>
      <c r="N1581" s="26"/>
      <c r="O1581" s="26"/>
      <c r="P1581" s="26"/>
      <c r="Q1581" s="26"/>
    </row>
    <row r="1582" ht="15.75" hidden="1" customHeight="1">
      <c r="A1582" s="31" t="s">
        <v>39</v>
      </c>
      <c r="B1582" s="9" t="s">
        <v>4433</v>
      </c>
      <c r="C1582" s="19" t="s">
        <v>4463</v>
      </c>
      <c r="D1582" s="22" t="s">
        <v>4464</v>
      </c>
      <c r="E1582" s="19" t="s">
        <v>115</v>
      </c>
      <c r="F1582" s="19" t="s">
        <v>4465</v>
      </c>
      <c r="G1582" s="19" t="s">
        <v>135</v>
      </c>
      <c r="H1582" s="22" t="s">
        <v>365</v>
      </c>
      <c r="I1582" s="25" t="s">
        <v>4466</v>
      </c>
      <c r="J1582" s="19" t="s">
        <v>140</v>
      </c>
      <c r="K1582" s="19" t="s">
        <v>13</v>
      </c>
      <c r="L1582" s="22"/>
      <c r="M1582" s="26"/>
      <c r="N1582" s="26"/>
      <c r="O1582" s="26"/>
      <c r="P1582" s="26"/>
      <c r="Q1582" s="26"/>
    </row>
    <row r="1583" ht="15.75" hidden="1" customHeight="1">
      <c r="A1583" s="31" t="s">
        <v>39</v>
      </c>
      <c r="B1583" s="9" t="s">
        <v>4433</v>
      </c>
      <c r="C1583" s="19" t="s">
        <v>4467</v>
      </c>
      <c r="D1583" s="22" t="s">
        <v>4468</v>
      </c>
      <c r="E1583" s="19" t="s">
        <v>115</v>
      </c>
      <c r="F1583" s="19" t="s">
        <v>4469</v>
      </c>
      <c r="G1583" s="19" t="s">
        <v>135</v>
      </c>
      <c r="H1583" s="22" t="s">
        <v>365</v>
      </c>
      <c r="I1583" s="25" t="s">
        <v>4470</v>
      </c>
      <c r="J1583" s="19"/>
      <c r="K1583" s="19" t="s">
        <v>40</v>
      </c>
      <c r="L1583" s="22"/>
      <c r="M1583" s="26"/>
      <c r="N1583" s="26"/>
      <c r="O1583" s="26"/>
      <c r="P1583" s="26"/>
      <c r="Q1583" s="26"/>
    </row>
    <row r="1584" ht="15.75" hidden="1" customHeight="1">
      <c r="A1584" s="31" t="s">
        <v>39</v>
      </c>
      <c r="B1584" s="9" t="s">
        <v>4433</v>
      </c>
      <c r="C1584" s="19" t="s">
        <v>2575</v>
      </c>
      <c r="D1584" s="22" t="s">
        <v>4471</v>
      </c>
      <c r="E1584" s="19" t="s">
        <v>115</v>
      </c>
      <c r="F1584" s="19" t="s">
        <v>3415</v>
      </c>
      <c r="G1584" s="19" t="s">
        <v>135</v>
      </c>
      <c r="H1584" s="22" t="s">
        <v>365</v>
      </c>
      <c r="I1584" s="25" t="s">
        <v>3970</v>
      </c>
      <c r="J1584" s="19"/>
      <c r="K1584" s="19" t="s">
        <v>13</v>
      </c>
      <c r="L1584" s="22"/>
      <c r="M1584" s="26"/>
      <c r="N1584" s="26"/>
      <c r="O1584" s="26"/>
      <c r="P1584" s="26"/>
      <c r="Q1584" s="26"/>
    </row>
    <row r="1585" ht="15.75" hidden="1" customHeight="1">
      <c r="A1585" s="31" t="s">
        <v>39</v>
      </c>
      <c r="B1585" s="9" t="s">
        <v>4433</v>
      </c>
      <c r="C1585" s="19" t="s">
        <v>4313</v>
      </c>
      <c r="D1585" s="22" t="s">
        <v>3939</v>
      </c>
      <c r="E1585" s="19" t="s">
        <v>115</v>
      </c>
      <c r="F1585" s="19" t="s">
        <v>3973</v>
      </c>
      <c r="G1585" s="19" t="s">
        <v>135</v>
      </c>
      <c r="H1585" s="22" t="s">
        <v>365</v>
      </c>
      <c r="I1585" s="25" t="s">
        <v>4315</v>
      </c>
      <c r="J1585" s="19"/>
      <c r="K1585" s="19" t="s">
        <v>13</v>
      </c>
      <c r="L1585" s="22"/>
      <c r="M1585" s="26"/>
      <c r="N1585" s="26"/>
      <c r="O1585" s="26"/>
      <c r="P1585" s="26"/>
      <c r="Q1585" s="26"/>
    </row>
    <row r="1586" ht="15.75" hidden="1" customHeight="1">
      <c r="A1586" s="31" t="s">
        <v>39</v>
      </c>
      <c r="B1586" s="9" t="s">
        <v>4433</v>
      </c>
      <c r="C1586" s="19" t="s">
        <v>2585</v>
      </c>
      <c r="D1586" s="22" t="s">
        <v>4472</v>
      </c>
      <c r="E1586" s="19" t="s">
        <v>115</v>
      </c>
      <c r="F1586" s="19" t="s">
        <v>2587</v>
      </c>
      <c r="G1586" s="19" t="s">
        <v>135</v>
      </c>
      <c r="H1586" s="22" t="s">
        <v>365</v>
      </c>
      <c r="I1586" s="25" t="s">
        <v>2588</v>
      </c>
      <c r="J1586" s="19"/>
      <c r="K1586" s="19" t="s">
        <v>13</v>
      </c>
      <c r="L1586" s="22"/>
      <c r="M1586" s="26"/>
      <c r="N1586" s="26"/>
      <c r="O1586" s="26"/>
      <c r="P1586" s="26"/>
      <c r="Q1586" s="26"/>
    </row>
    <row r="1587" ht="15.75" hidden="1" customHeight="1">
      <c r="A1587" s="31" t="s">
        <v>39</v>
      </c>
      <c r="B1587" s="9" t="s">
        <v>4433</v>
      </c>
      <c r="C1587" s="19" t="s">
        <v>3413</v>
      </c>
      <c r="D1587" s="22" t="s">
        <v>4329</v>
      </c>
      <c r="E1587" s="19" t="s">
        <v>115</v>
      </c>
      <c r="F1587" s="19" t="s">
        <v>3415</v>
      </c>
      <c r="G1587" s="19" t="s">
        <v>135</v>
      </c>
      <c r="H1587" s="22" t="s">
        <v>365</v>
      </c>
      <c r="I1587" s="25" t="s">
        <v>4473</v>
      </c>
      <c r="J1587" s="19" t="s">
        <v>140</v>
      </c>
      <c r="K1587" s="19" t="s">
        <v>13</v>
      </c>
      <c r="L1587" s="22"/>
      <c r="M1587" s="26"/>
      <c r="N1587" s="26"/>
      <c r="O1587" s="26"/>
      <c r="P1587" s="26"/>
      <c r="Q1587" s="26"/>
    </row>
    <row r="1588" ht="15.75" hidden="1" customHeight="1">
      <c r="A1588" s="31" t="s">
        <v>39</v>
      </c>
      <c r="B1588" s="9" t="s">
        <v>4433</v>
      </c>
      <c r="C1588" s="19" t="s">
        <v>4474</v>
      </c>
      <c r="D1588" s="22" t="s">
        <v>4475</v>
      </c>
      <c r="E1588" s="19" t="s">
        <v>115</v>
      </c>
      <c r="F1588" s="19" t="s">
        <v>1094</v>
      </c>
      <c r="G1588" s="19" t="s">
        <v>135</v>
      </c>
      <c r="H1588" s="22" t="s">
        <v>365</v>
      </c>
      <c r="I1588" s="25" t="s">
        <v>4476</v>
      </c>
      <c r="J1588" s="19" t="s">
        <v>456</v>
      </c>
      <c r="K1588" s="19" t="s">
        <v>213</v>
      </c>
      <c r="L1588" s="22" t="s">
        <v>2910</v>
      </c>
      <c r="M1588" s="26"/>
      <c r="N1588" s="26"/>
      <c r="O1588" s="26"/>
      <c r="P1588" s="26"/>
      <c r="Q1588" s="26"/>
    </row>
    <row r="1589" ht="15.75" hidden="1" customHeight="1">
      <c r="A1589" s="31" t="s">
        <v>39</v>
      </c>
      <c r="B1589" s="9" t="s">
        <v>4433</v>
      </c>
      <c r="C1589" s="19" t="s">
        <v>4477</v>
      </c>
      <c r="D1589" s="22" t="s">
        <v>4478</v>
      </c>
      <c r="E1589" s="19" t="s">
        <v>115</v>
      </c>
      <c r="F1589" s="19" t="s">
        <v>4479</v>
      </c>
      <c r="G1589" s="19" t="s">
        <v>135</v>
      </c>
      <c r="H1589" s="22" t="s">
        <v>365</v>
      </c>
      <c r="I1589" s="25" t="s">
        <v>4480</v>
      </c>
      <c r="J1589" s="19" t="s">
        <v>140</v>
      </c>
      <c r="K1589" s="19" t="s">
        <v>13</v>
      </c>
      <c r="L1589" s="22"/>
      <c r="M1589" s="26"/>
      <c r="N1589" s="26"/>
      <c r="O1589" s="26"/>
      <c r="P1589" s="26"/>
      <c r="Q1589" s="26"/>
    </row>
    <row r="1590" ht="15.75" hidden="1" customHeight="1">
      <c r="A1590" s="31" t="s">
        <v>39</v>
      </c>
      <c r="B1590" s="9" t="s">
        <v>4433</v>
      </c>
      <c r="C1590" s="19" t="s">
        <v>4481</v>
      </c>
      <c r="D1590" s="22" t="s">
        <v>4482</v>
      </c>
      <c r="E1590" s="19" t="s">
        <v>115</v>
      </c>
      <c r="F1590" s="19" t="s">
        <v>2093</v>
      </c>
      <c r="G1590" s="19" t="s">
        <v>135</v>
      </c>
      <c r="H1590" s="22" t="s">
        <v>365</v>
      </c>
      <c r="I1590" s="25" t="s">
        <v>4483</v>
      </c>
      <c r="J1590" s="19"/>
      <c r="K1590" s="19" t="s">
        <v>40</v>
      </c>
      <c r="L1590" s="22"/>
      <c r="M1590" s="26"/>
      <c r="N1590" s="26"/>
      <c r="O1590" s="26"/>
      <c r="P1590" s="26"/>
      <c r="Q1590" s="26"/>
    </row>
    <row r="1591" ht="15.75" hidden="1" customHeight="1">
      <c r="A1591" s="31" t="s">
        <v>39</v>
      </c>
      <c r="B1591" s="9" t="s">
        <v>4433</v>
      </c>
      <c r="C1591" s="19" t="s">
        <v>4481</v>
      </c>
      <c r="D1591" s="22" t="s">
        <v>4484</v>
      </c>
      <c r="E1591" s="19" t="s">
        <v>115</v>
      </c>
      <c r="F1591" s="19" t="s">
        <v>2093</v>
      </c>
      <c r="G1591" s="19" t="s">
        <v>135</v>
      </c>
      <c r="H1591" s="22" t="s">
        <v>365</v>
      </c>
      <c r="I1591" s="25" t="s">
        <v>4483</v>
      </c>
      <c r="J1591" s="19"/>
      <c r="K1591" s="19" t="s">
        <v>40</v>
      </c>
      <c r="L1591" s="22"/>
      <c r="M1591" s="26"/>
      <c r="N1591" s="26"/>
      <c r="O1591" s="26"/>
      <c r="P1591" s="26"/>
      <c r="Q1591" s="26"/>
    </row>
    <row r="1592" ht="15.75" hidden="1" customHeight="1">
      <c r="A1592" s="31" t="s">
        <v>39</v>
      </c>
      <c r="B1592" s="9" t="s">
        <v>4433</v>
      </c>
      <c r="C1592" s="19" t="s">
        <v>4481</v>
      </c>
      <c r="D1592" s="22" t="s">
        <v>4484</v>
      </c>
      <c r="E1592" s="19" t="s">
        <v>115</v>
      </c>
      <c r="F1592" s="19" t="s">
        <v>4485</v>
      </c>
      <c r="G1592" s="19" t="s">
        <v>135</v>
      </c>
      <c r="H1592" s="22" t="s">
        <v>365</v>
      </c>
      <c r="I1592" s="25" t="s">
        <v>4483</v>
      </c>
      <c r="J1592" s="19"/>
      <c r="K1592" s="19" t="s">
        <v>40</v>
      </c>
      <c r="L1592" s="22"/>
      <c r="M1592" s="26"/>
      <c r="N1592" s="26"/>
      <c r="O1592" s="26"/>
      <c r="P1592" s="26"/>
      <c r="Q1592" s="26"/>
    </row>
    <row r="1593" ht="15.75" hidden="1" customHeight="1">
      <c r="A1593" s="31" t="s">
        <v>39</v>
      </c>
      <c r="B1593" s="9" t="s">
        <v>4486</v>
      </c>
      <c r="C1593" s="19" t="s">
        <v>3573</v>
      </c>
      <c r="D1593" s="22" t="s">
        <v>4487</v>
      </c>
      <c r="E1593" s="19" t="s">
        <v>121</v>
      </c>
      <c r="F1593" s="19" t="s">
        <v>1220</v>
      </c>
      <c r="G1593" s="19" t="s">
        <v>57</v>
      </c>
      <c r="H1593" s="22" t="s">
        <v>365</v>
      </c>
      <c r="I1593" s="25" t="s">
        <v>4488</v>
      </c>
      <c r="J1593" s="19" t="s">
        <v>1435</v>
      </c>
      <c r="K1593" s="19" t="s">
        <v>66</v>
      </c>
      <c r="L1593" s="22" t="s">
        <v>2189</v>
      </c>
      <c r="M1593" s="26"/>
      <c r="N1593" s="26"/>
      <c r="O1593" s="26"/>
      <c r="P1593" s="26"/>
      <c r="Q1593" s="26"/>
    </row>
    <row r="1594" ht="15.75" hidden="1" customHeight="1">
      <c r="A1594" s="31" t="s">
        <v>39</v>
      </c>
      <c r="B1594" s="9" t="s">
        <v>4486</v>
      </c>
      <c r="C1594" s="19" t="s">
        <v>1700</v>
      </c>
      <c r="D1594" s="22" t="s">
        <v>4489</v>
      </c>
      <c r="E1594" s="19" t="s">
        <v>121</v>
      </c>
      <c r="F1594" s="19" t="s">
        <v>241</v>
      </c>
      <c r="G1594" s="19" t="s">
        <v>57</v>
      </c>
      <c r="H1594" s="22" t="s">
        <v>365</v>
      </c>
      <c r="I1594" s="25" t="s">
        <v>4490</v>
      </c>
      <c r="J1594" s="19"/>
      <c r="K1594" s="19" t="s">
        <v>137</v>
      </c>
      <c r="L1594" s="22"/>
      <c r="M1594" s="26"/>
      <c r="N1594" s="26"/>
      <c r="O1594" s="26"/>
      <c r="P1594" s="26"/>
      <c r="Q1594" s="26"/>
    </row>
    <row r="1595" ht="15.75" hidden="1" customHeight="1">
      <c r="A1595" s="31" t="s">
        <v>39</v>
      </c>
      <c r="B1595" s="9" t="s">
        <v>4486</v>
      </c>
      <c r="C1595" s="19" t="s">
        <v>3240</v>
      </c>
      <c r="D1595" s="22" t="s">
        <v>3115</v>
      </c>
      <c r="E1595" s="19" t="s">
        <v>121</v>
      </c>
      <c r="F1595" s="19" t="s">
        <v>3625</v>
      </c>
      <c r="G1595" s="19" t="s">
        <v>57</v>
      </c>
      <c r="H1595" s="22" t="s">
        <v>365</v>
      </c>
      <c r="I1595" s="25" t="s">
        <v>4491</v>
      </c>
      <c r="J1595" s="19" t="s">
        <v>1445</v>
      </c>
      <c r="K1595" s="19" t="s">
        <v>66</v>
      </c>
      <c r="L1595" s="22"/>
      <c r="M1595" s="26"/>
      <c r="N1595" s="26"/>
      <c r="O1595" s="26"/>
      <c r="P1595" s="26"/>
      <c r="Q1595" s="26"/>
    </row>
    <row r="1596" ht="15.75" hidden="1" customHeight="1">
      <c r="A1596" s="31" t="s">
        <v>39</v>
      </c>
      <c r="B1596" s="9" t="s">
        <v>4486</v>
      </c>
      <c r="C1596" s="19" t="s">
        <v>4492</v>
      </c>
      <c r="D1596" s="22" t="s">
        <v>4493</v>
      </c>
      <c r="E1596" s="19" t="s">
        <v>121</v>
      </c>
      <c r="F1596" s="19" t="s">
        <v>2224</v>
      </c>
      <c r="G1596" s="19" t="s">
        <v>57</v>
      </c>
      <c r="H1596" s="22" t="s">
        <v>365</v>
      </c>
      <c r="I1596" s="25" t="s">
        <v>4494</v>
      </c>
      <c r="J1596" s="19" t="s">
        <v>319</v>
      </c>
      <c r="K1596" s="19" t="s">
        <v>66</v>
      </c>
      <c r="L1596" s="22"/>
      <c r="M1596" s="26"/>
      <c r="N1596" s="26"/>
      <c r="O1596" s="26"/>
      <c r="P1596" s="26"/>
      <c r="Q1596" s="26"/>
    </row>
    <row r="1597" ht="15.75" customHeight="1">
      <c r="A1597" s="31" t="s">
        <v>39</v>
      </c>
      <c r="B1597" s="9" t="s">
        <v>4486</v>
      </c>
      <c r="C1597" s="19" t="s">
        <v>787</v>
      </c>
      <c r="D1597" s="22" t="s">
        <v>4495</v>
      </c>
      <c r="E1597" s="19" t="s">
        <v>109</v>
      </c>
      <c r="F1597" s="19" t="s">
        <v>4496</v>
      </c>
      <c r="G1597" s="19" t="s">
        <v>90</v>
      </c>
      <c r="H1597" s="32" t="s">
        <v>2956</v>
      </c>
      <c r="I1597" s="25" t="s">
        <v>789</v>
      </c>
      <c r="J1597" s="19"/>
      <c r="K1597" s="19" t="s">
        <v>112</v>
      </c>
      <c r="L1597" s="22" t="s">
        <v>4005</v>
      </c>
      <c r="M1597" s="26"/>
      <c r="N1597" s="26"/>
      <c r="O1597" s="26"/>
      <c r="P1597" s="26"/>
      <c r="Q1597" s="26"/>
    </row>
    <row r="1598" ht="15.75" hidden="1" customHeight="1">
      <c r="A1598" s="31" t="s">
        <v>39</v>
      </c>
      <c r="B1598" s="9" t="s">
        <v>4486</v>
      </c>
      <c r="C1598" s="19" t="s">
        <v>4497</v>
      </c>
      <c r="D1598" s="22" t="s">
        <v>4498</v>
      </c>
      <c r="E1598" s="19" t="s">
        <v>121</v>
      </c>
      <c r="F1598" s="19" t="s">
        <v>4499</v>
      </c>
      <c r="G1598" s="19" t="s">
        <v>146</v>
      </c>
      <c r="H1598" s="22" t="s">
        <v>365</v>
      </c>
      <c r="I1598" s="25" t="s">
        <v>4500</v>
      </c>
      <c r="J1598" s="19" t="s">
        <v>4501</v>
      </c>
      <c r="K1598" s="19" t="s">
        <v>193</v>
      </c>
      <c r="L1598" s="22"/>
      <c r="M1598" s="26"/>
      <c r="N1598" s="26"/>
      <c r="O1598" s="26"/>
      <c r="P1598" s="26"/>
      <c r="Q1598" s="26"/>
    </row>
    <row r="1599" ht="15.75" hidden="1" customHeight="1">
      <c r="A1599" s="31" t="s">
        <v>39</v>
      </c>
      <c r="B1599" s="9" t="s">
        <v>4486</v>
      </c>
      <c r="C1599" s="19" t="s">
        <v>4502</v>
      </c>
      <c r="D1599" s="22" t="s">
        <v>4503</v>
      </c>
      <c r="E1599" s="19" t="s">
        <v>127</v>
      </c>
      <c r="F1599" s="19" t="s">
        <v>2727</v>
      </c>
      <c r="G1599" s="19" t="s">
        <v>57</v>
      </c>
      <c r="H1599" s="22" t="s">
        <v>365</v>
      </c>
      <c r="I1599" s="25" t="s">
        <v>4504</v>
      </c>
      <c r="J1599" s="19" t="s">
        <v>635</v>
      </c>
      <c r="K1599" s="19" t="s">
        <v>122</v>
      </c>
      <c r="L1599" s="22" t="s">
        <v>4505</v>
      </c>
      <c r="M1599" s="26"/>
      <c r="N1599" s="26"/>
      <c r="O1599" s="26"/>
      <c r="P1599" s="26"/>
      <c r="Q1599" s="26"/>
    </row>
    <row r="1600" ht="15.75" hidden="1" customHeight="1">
      <c r="A1600" s="31" t="s">
        <v>39</v>
      </c>
      <c r="B1600" s="9" t="s">
        <v>4486</v>
      </c>
      <c r="C1600" s="19" t="s">
        <v>3687</v>
      </c>
      <c r="D1600" s="22" t="s">
        <v>4506</v>
      </c>
      <c r="E1600" s="19" t="s">
        <v>127</v>
      </c>
      <c r="F1600" s="19" t="s">
        <v>2075</v>
      </c>
      <c r="G1600" s="19" t="s">
        <v>146</v>
      </c>
      <c r="H1600" s="22" t="s">
        <v>365</v>
      </c>
      <c r="I1600" s="25" t="s">
        <v>3689</v>
      </c>
      <c r="J1600" s="19"/>
      <c r="K1600" s="19" t="s">
        <v>193</v>
      </c>
      <c r="L1600" s="22" t="s">
        <v>4507</v>
      </c>
      <c r="M1600" s="26"/>
      <c r="N1600" s="26"/>
      <c r="O1600" s="26"/>
      <c r="P1600" s="26"/>
      <c r="Q1600" s="26"/>
    </row>
    <row r="1601" ht="15.75" hidden="1" customHeight="1">
      <c r="A1601" s="31" t="s">
        <v>39</v>
      </c>
      <c r="B1601" s="9" t="s">
        <v>4486</v>
      </c>
      <c r="C1601" s="19" t="s">
        <v>1234</v>
      </c>
      <c r="D1601" s="22" t="s">
        <v>4508</v>
      </c>
      <c r="E1601" s="19" t="s">
        <v>127</v>
      </c>
      <c r="F1601" s="19" t="s">
        <v>1236</v>
      </c>
      <c r="G1601" s="19" t="s">
        <v>57</v>
      </c>
      <c r="H1601" s="22" t="s">
        <v>365</v>
      </c>
      <c r="I1601" s="25" t="s">
        <v>2613</v>
      </c>
      <c r="J1601" s="19" t="s">
        <v>663</v>
      </c>
      <c r="K1601" s="19" t="s">
        <v>66</v>
      </c>
      <c r="L1601" s="22"/>
      <c r="M1601" s="26"/>
      <c r="N1601" s="26"/>
      <c r="O1601" s="26"/>
      <c r="P1601" s="26"/>
      <c r="Q1601" s="26"/>
    </row>
    <row r="1602" ht="15.75" hidden="1" customHeight="1">
      <c r="A1602" s="31" t="s">
        <v>39</v>
      </c>
      <c r="B1602" s="9" t="s">
        <v>4486</v>
      </c>
      <c r="C1602" s="19" t="s">
        <v>3308</v>
      </c>
      <c r="D1602" s="22" t="s">
        <v>4416</v>
      </c>
      <c r="E1602" s="19" t="s">
        <v>121</v>
      </c>
      <c r="F1602" s="19" t="s">
        <v>824</v>
      </c>
      <c r="G1602" s="19" t="s">
        <v>57</v>
      </c>
      <c r="H1602" s="22" t="s">
        <v>365</v>
      </c>
      <c r="I1602" s="25" t="s">
        <v>4509</v>
      </c>
      <c r="J1602" s="19"/>
      <c r="K1602" s="19" t="s">
        <v>162</v>
      </c>
      <c r="L1602" s="22"/>
      <c r="M1602" s="26"/>
      <c r="N1602" s="26"/>
      <c r="O1602" s="26"/>
      <c r="P1602" s="26"/>
      <c r="Q1602" s="26"/>
    </row>
    <row r="1603" ht="15.75" hidden="1" customHeight="1">
      <c r="A1603" s="31" t="s">
        <v>39</v>
      </c>
      <c r="B1603" s="9" t="s">
        <v>4486</v>
      </c>
      <c r="C1603" s="19" t="s">
        <v>3308</v>
      </c>
      <c r="D1603" s="22" t="s">
        <v>4416</v>
      </c>
      <c r="E1603" s="19" t="s">
        <v>121</v>
      </c>
      <c r="F1603" s="19" t="s">
        <v>631</v>
      </c>
      <c r="G1603" s="19" t="s">
        <v>57</v>
      </c>
      <c r="H1603" s="22" t="s">
        <v>365</v>
      </c>
      <c r="I1603" s="25" t="s">
        <v>4510</v>
      </c>
      <c r="J1603" s="19"/>
      <c r="K1603" s="19" t="s">
        <v>117</v>
      </c>
      <c r="L1603" s="22" t="s">
        <v>4511</v>
      </c>
      <c r="M1603" s="26"/>
      <c r="N1603" s="26"/>
      <c r="O1603" s="26"/>
      <c r="P1603" s="26"/>
      <c r="Q1603" s="26"/>
    </row>
    <row r="1604" ht="15.75" hidden="1" customHeight="1">
      <c r="A1604" s="31" t="s">
        <v>39</v>
      </c>
      <c r="B1604" s="9" t="s">
        <v>4486</v>
      </c>
      <c r="C1604" s="19" t="s">
        <v>1734</v>
      </c>
      <c r="D1604" s="22" t="s">
        <v>4512</v>
      </c>
      <c r="E1604" s="19" t="s">
        <v>127</v>
      </c>
      <c r="F1604" s="19" t="s">
        <v>3026</v>
      </c>
      <c r="G1604" s="19" t="s">
        <v>57</v>
      </c>
      <c r="H1604" s="22" t="s">
        <v>365</v>
      </c>
      <c r="I1604" s="25" t="s">
        <v>4513</v>
      </c>
      <c r="J1604" s="19"/>
      <c r="K1604" s="19" t="s">
        <v>99</v>
      </c>
      <c r="L1604" s="22" t="s">
        <v>4514</v>
      </c>
      <c r="M1604" s="26"/>
      <c r="N1604" s="26"/>
      <c r="O1604" s="26"/>
      <c r="P1604" s="26"/>
      <c r="Q1604" s="26"/>
    </row>
    <row r="1605" ht="15.75" hidden="1" customHeight="1">
      <c r="A1605" s="31" t="s">
        <v>39</v>
      </c>
      <c r="B1605" s="9" t="s">
        <v>4486</v>
      </c>
      <c r="C1605" s="19" t="s">
        <v>3751</v>
      </c>
      <c r="D1605" s="22" t="s">
        <v>4515</v>
      </c>
      <c r="E1605" s="19" t="s">
        <v>121</v>
      </c>
      <c r="F1605" s="19" t="s">
        <v>521</v>
      </c>
      <c r="G1605" s="19" t="s">
        <v>146</v>
      </c>
      <c r="H1605" s="22" t="s">
        <v>365</v>
      </c>
      <c r="I1605" s="25" t="s">
        <v>4516</v>
      </c>
      <c r="J1605" s="19" t="s">
        <v>1435</v>
      </c>
      <c r="K1605" s="19" t="s">
        <v>180</v>
      </c>
      <c r="L1605" s="22" t="s">
        <v>3754</v>
      </c>
      <c r="M1605" s="26"/>
      <c r="N1605" s="26"/>
      <c r="O1605" s="26"/>
      <c r="P1605" s="26"/>
      <c r="Q1605" s="26"/>
    </row>
    <row r="1606" ht="15.75" hidden="1" customHeight="1">
      <c r="A1606" s="31" t="s">
        <v>39</v>
      </c>
      <c r="B1606" s="9" t="s">
        <v>4486</v>
      </c>
      <c r="C1606" s="19" t="s">
        <v>1513</v>
      </c>
      <c r="D1606" s="22" t="s">
        <v>4517</v>
      </c>
      <c r="E1606" s="19" t="s">
        <v>121</v>
      </c>
      <c r="F1606" s="19" t="s">
        <v>1803</v>
      </c>
      <c r="G1606" s="19" t="s">
        <v>57</v>
      </c>
      <c r="H1606" s="22" t="s">
        <v>365</v>
      </c>
      <c r="I1606" s="25" t="s">
        <v>4518</v>
      </c>
      <c r="J1606" s="19" t="s">
        <v>95</v>
      </c>
      <c r="K1606" s="19" t="s">
        <v>66</v>
      </c>
      <c r="L1606" s="22"/>
      <c r="M1606" s="26"/>
      <c r="N1606" s="26"/>
      <c r="O1606" s="26"/>
      <c r="P1606" s="26"/>
      <c r="Q1606" s="26"/>
    </row>
    <row r="1607" ht="15.75" hidden="1" customHeight="1">
      <c r="A1607" s="31" t="s">
        <v>39</v>
      </c>
      <c r="B1607" s="9" t="s">
        <v>4486</v>
      </c>
      <c r="C1607" s="19" t="s">
        <v>4519</v>
      </c>
      <c r="D1607" s="22" t="s">
        <v>4520</v>
      </c>
      <c r="E1607" s="19" t="s">
        <v>121</v>
      </c>
      <c r="F1607" s="19" t="s">
        <v>1820</v>
      </c>
      <c r="G1607" s="19" t="s">
        <v>57</v>
      </c>
      <c r="H1607" s="22" t="s">
        <v>365</v>
      </c>
      <c r="I1607" s="25" t="s">
        <v>4521</v>
      </c>
      <c r="J1607" s="19" t="s">
        <v>1445</v>
      </c>
      <c r="K1607" s="19" t="s">
        <v>66</v>
      </c>
      <c r="L1607" s="22"/>
      <c r="M1607" s="26"/>
      <c r="N1607" s="26"/>
      <c r="O1607" s="26"/>
      <c r="P1607" s="26"/>
      <c r="Q1607" s="26"/>
    </row>
    <row r="1608" ht="15.75" hidden="1" customHeight="1">
      <c r="A1608" s="31" t="s">
        <v>39</v>
      </c>
      <c r="B1608" s="9" t="s">
        <v>4486</v>
      </c>
      <c r="C1608" s="19" t="s">
        <v>4522</v>
      </c>
      <c r="D1608" s="22" t="s">
        <v>4523</v>
      </c>
      <c r="E1608" s="19" t="s">
        <v>116</v>
      </c>
      <c r="F1608" s="19" t="s">
        <v>868</v>
      </c>
      <c r="G1608" s="19" t="s">
        <v>57</v>
      </c>
      <c r="H1608" s="32" t="s">
        <v>2956</v>
      </c>
      <c r="I1608" s="25" t="s">
        <v>4524</v>
      </c>
      <c r="J1608" s="19" t="s">
        <v>1722</v>
      </c>
      <c r="K1608" s="19" t="s">
        <v>130</v>
      </c>
      <c r="L1608" s="22" t="s">
        <v>4525</v>
      </c>
      <c r="M1608" s="26"/>
      <c r="N1608" s="26"/>
      <c r="O1608" s="26"/>
      <c r="P1608" s="26"/>
      <c r="Q1608" s="26"/>
    </row>
    <row r="1609" ht="15.75" hidden="1" customHeight="1">
      <c r="A1609" s="31" t="s">
        <v>39</v>
      </c>
      <c r="B1609" s="9" t="s">
        <v>4486</v>
      </c>
      <c r="C1609" s="19" t="s">
        <v>4526</v>
      </c>
      <c r="D1609" s="22" t="s">
        <v>3867</v>
      </c>
      <c r="E1609" s="19" t="s">
        <v>121</v>
      </c>
      <c r="F1609" s="19" t="s">
        <v>617</v>
      </c>
      <c r="G1609" s="19" t="s">
        <v>57</v>
      </c>
      <c r="H1609" s="22" t="s">
        <v>365</v>
      </c>
      <c r="I1609" s="25" t="s">
        <v>4527</v>
      </c>
      <c r="J1609" s="19" t="s">
        <v>561</v>
      </c>
      <c r="K1609" s="19" t="s">
        <v>66</v>
      </c>
      <c r="L1609" s="22"/>
      <c r="M1609" s="26"/>
      <c r="N1609" s="26"/>
      <c r="O1609" s="26"/>
      <c r="P1609" s="26"/>
      <c r="Q1609" s="26"/>
    </row>
    <row r="1610" ht="15.75" hidden="1" customHeight="1">
      <c r="A1610" s="31" t="s">
        <v>39</v>
      </c>
      <c r="B1610" s="9" t="s">
        <v>4486</v>
      </c>
      <c r="C1610" s="19" t="s">
        <v>1259</v>
      </c>
      <c r="D1610" s="22" t="s">
        <v>4528</v>
      </c>
      <c r="E1610" s="19" t="s">
        <v>121</v>
      </c>
      <c r="F1610" s="19" t="s">
        <v>1167</v>
      </c>
      <c r="G1610" s="19" t="s">
        <v>146</v>
      </c>
      <c r="H1610" s="22" t="s">
        <v>365</v>
      </c>
      <c r="I1610" s="25" t="s">
        <v>4529</v>
      </c>
      <c r="J1610" s="19" t="s">
        <v>319</v>
      </c>
      <c r="K1610" s="19" t="s">
        <v>99</v>
      </c>
      <c r="L1610" s="22" t="s">
        <v>4257</v>
      </c>
      <c r="M1610" s="26"/>
      <c r="N1610" s="26"/>
      <c r="O1610" s="26"/>
      <c r="P1610" s="26"/>
      <c r="Q1610" s="26"/>
    </row>
    <row r="1611" ht="15.75" hidden="1" customHeight="1">
      <c r="A1611" s="31" t="s">
        <v>39</v>
      </c>
      <c r="B1611" s="9" t="s">
        <v>4530</v>
      </c>
      <c r="C1611" s="19" t="s">
        <v>3794</v>
      </c>
      <c r="D1611" s="22" t="s">
        <v>4531</v>
      </c>
      <c r="E1611" s="19" t="s">
        <v>121</v>
      </c>
      <c r="F1611" s="19" t="s">
        <v>55</v>
      </c>
      <c r="G1611" s="19" t="s">
        <v>135</v>
      </c>
      <c r="H1611" s="22" t="s">
        <v>155</v>
      </c>
      <c r="I1611" s="25" t="s">
        <v>3795</v>
      </c>
      <c r="J1611" s="19"/>
      <c r="K1611" s="19" t="s">
        <v>122</v>
      </c>
      <c r="L1611" s="22" t="s">
        <v>1846</v>
      </c>
      <c r="M1611" s="26"/>
      <c r="N1611" s="26"/>
      <c r="O1611" s="26"/>
      <c r="P1611" s="26"/>
      <c r="Q1611" s="26"/>
    </row>
    <row r="1612" ht="15.75" hidden="1" customHeight="1">
      <c r="A1612" s="31" t="s">
        <v>39</v>
      </c>
      <c r="B1612" s="9" t="s">
        <v>4530</v>
      </c>
      <c r="C1612" s="19" t="s">
        <v>3810</v>
      </c>
      <c r="D1612" s="22" t="s">
        <v>4532</v>
      </c>
      <c r="E1612" s="19" t="s">
        <v>121</v>
      </c>
      <c r="F1612" s="19" t="s">
        <v>241</v>
      </c>
      <c r="G1612" s="19" t="s">
        <v>135</v>
      </c>
      <c r="H1612" s="22" t="s">
        <v>155</v>
      </c>
      <c r="I1612" s="25" t="s">
        <v>4533</v>
      </c>
      <c r="J1612" s="19"/>
      <c r="K1612" s="19" t="s">
        <v>13</v>
      </c>
      <c r="L1612" s="22" t="s">
        <v>738</v>
      </c>
      <c r="M1612" s="26"/>
      <c r="N1612" s="26"/>
      <c r="O1612" s="26"/>
      <c r="P1612" s="26"/>
      <c r="Q1612" s="26"/>
    </row>
    <row r="1613" ht="15.75" hidden="1" customHeight="1">
      <c r="A1613" s="31" t="s">
        <v>39</v>
      </c>
      <c r="B1613" s="9" t="s">
        <v>4530</v>
      </c>
      <c r="C1613" s="19" t="s">
        <v>3810</v>
      </c>
      <c r="D1613" s="22" t="s">
        <v>3122</v>
      </c>
      <c r="E1613" s="19" t="s">
        <v>121</v>
      </c>
      <c r="F1613" s="19" t="s">
        <v>241</v>
      </c>
      <c r="G1613" s="19" t="s">
        <v>135</v>
      </c>
      <c r="H1613" s="22" t="s">
        <v>155</v>
      </c>
      <c r="I1613" s="25" t="s">
        <v>4534</v>
      </c>
      <c r="J1613" s="19"/>
      <c r="K1613" s="19" t="s">
        <v>13</v>
      </c>
      <c r="L1613" s="22" t="s">
        <v>738</v>
      </c>
      <c r="M1613" s="26"/>
      <c r="N1613" s="26"/>
      <c r="O1613" s="26"/>
      <c r="P1613" s="26"/>
      <c r="Q1613" s="26"/>
    </row>
    <row r="1614" ht="15.75" hidden="1" customHeight="1">
      <c r="A1614" s="31" t="s">
        <v>39</v>
      </c>
      <c r="B1614" s="9" t="s">
        <v>4530</v>
      </c>
      <c r="C1614" s="19" t="s">
        <v>3814</v>
      </c>
      <c r="D1614" s="22" t="s">
        <v>4535</v>
      </c>
      <c r="E1614" s="19" t="s">
        <v>129</v>
      </c>
      <c r="F1614" s="19" t="s">
        <v>4536</v>
      </c>
      <c r="G1614" s="19" t="s">
        <v>135</v>
      </c>
      <c r="H1614" s="22" t="s">
        <v>155</v>
      </c>
      <c r="I1614" s="25" t="s">
        <v>3816</v>
      </c>
      <c r="J1614" s="19"/>
      <c r="K1614" s="19" t="s">
        <v>13</v>
      </c>
      <c r="L1614" s="22" t="s">
        <v>4537</v>
      </c>
      <c r="M1614" s="26"/>
      <c r="N1614" s="26"/>
      <c r="O1614" s="26"/>
      <c r="P1614" s="26"/>
      <c r="Q1614" s="26"/>
    </row>
    <row r="1615" ht="15.75" hidden="1" customHeight="1">
      <c r="A1615" s="31" t="s">
        <v>39</v>
      </c>
      <c r="B1615" s="9" t="s">
        <v>4530</v>
      </c>
      <c r="C1615" s="19" t="s">
        <v>1098</v>
      </c>
      <c r="D1615" s="22" t="s">
        <v>4538</v>
      </c>
      <c r="E1615" s="19" t="s">
        <v>129</v>
      </c>
      <c r="F1615" s="19" t="s">
        <v>1094</v>
      </c>
      <c r="G1615" s="19" t="s">
        <v>135</v>
      </c>
      <c r="H1615" s="22" t="s">
        <v>155</v>
      </c>
      <c r="I1615" s="25" t="s">
        <v>4539</v>
      </c>
      <c r="J1615" s="19"/>
      <c r="K1615" s="19" t="s">
        <v>122</v>
      </c>
      <c r="L1615" s="22" t="s">
        <v>1846</v>
      </c>
      <c r="M1615" s="26"/>
      <c r="N1615" s="26"/>
      <c r="O1615" s="26"/>
      <c r="P1615" s="26"/>
      <c r="Q1615" s="26"/>
    </row>
    <row r="1616" ht="15.75" hidden="1" customHeight="1">
      <c r="A1616" s="31" t="s">
        <v>39</v>
      </c>
      <c r="B1616" s="9" t="s">
        <v>4530</v>
      </c>
      <c r="C1616" s="19" t="s">
        <v>3856</v>
      </c>
      <c r="D1616" s="22" t="s">
        <v>4540</v>
      </c>
      <c r="E1616" s="19" t="s">
        <v>121</v>
      </c>
      <c r="F1616" s="19" t="s">
        <v>241</v>
      </c>
      <c r="G1616" s="19" t="s">
        <v>135</v>
      </c>
      <c r="H1616" s="22" t="s">
        <v>155</v>
      </c>
      <c r="I1616" s="25" t="s">
        <v>4541</v>
      </c>
      <c r="J1616" s="19"/>
      <c r="K1616" s="19" t="s">
        <v>74</v>
      </c>
      <c r="L1616" s="22" t="s">
        <v>723</v>
      </c>
      <c r="M1616" s="26"/>
      <c r="N1616" s="26"/>
      <c r="O1616" s="26"/>
      <c r="P1616" s="26"/>
      <c r="Q1616" s="26"/>
    </row>
    <row r="1617" ht="15.75" hidden="1" customHeight="1">
      <c r="A1617" s="31" t="s">
        <v>39</v>
      </c>
      <c r="B1617" s="9" t="s">
        <v>4530</v>
      </c>
      <c r="C1617" s="19" t="s">
        <v>4542</v>
      </c>
      <c r="D1617" s="22" t="s">
        <v>4493</v>
      </c>
      <c r="E1617" s="19" t="s">
        <v>121</v>
      </c>
      <c r="F1617" s="19" t="s">
        <v>2727</v>
      </c>
      <c r="G1617" s="19" t="s">
        <v>135</v>
      </c>
      <c r="H1617" s="22" t="s">
        <v>155</v>
      </c>
      <c r="I1617" s="25" t="s">
        <v>4543</v>
      </c>
      <c r="J1617" s="19" t="s">
        <v>2193</v>
      </c>
      <c r="K1617" s="19" t="s">
        <v>94</v>
      </c>
      <c r="L1617" s="22"/>
      <c r="M1617" s="26"/>
      <c r="N1617" s="26"/>
      <c r="O1617" s="26"/>
      <c r="P1617" s="26"/>
      <c r="Q1617" s="26"/>
    </row>
    <row r="1618" ht="15.75" hidden="1" customHeight="1">
      <c r="A1618" s="31" t="s">
        <v>39</v>
      </c>
      <c r="B1618" s="9" t="s">
        <v>4530</v>
      </c>
      <c r="C1618" s="19" t="s">
        <v>3874</v>
      </c>
      <c r="D1618" s="22" t="s">
        <v>4544</v>
      </c>
      <c r="E1618" s="19" t="s">
        <v>121</v>
      </c>
      <c r="F1618" s="19" t="s">
        <v>4545</v>
      </c>
      <c r="G1618" s="19" t="s">
        <v>135</v>
      </c>
      <c r="H1618" s="22" t="s">
        <v>155</v>
      </c>
      <c r="I1618" s="25" t="s">
        <v>4546</v>
      </c>
      <c r="J1618" s="19" t="s">
        <v>1445</v>
      </c>
      <c r="K1618" s="19" t="s">
        <v>94</v>
      </c>
      <c r="L1618" s="22"/>
      <c r="M1618" s="26"/>
      <c r="N1618" s="26"/>
      <c r="O1618" s="26"/>
      <c r="P1618" s="26"/>
      <c r="Q1618" s="26"/>
    </row>
    <row r="1619" ht="15.75" hidden="1" customHeight="1">
      <c r="A1619" s="31" t="s">
        <v>39</v>
      </c>
      <c r="B1619" s="9" t="s">
        <v>4530</v>
      </c>
      <c r="C1619" s="19" t="s">
        <v>3881</v>
      </c>
      <c r="D1619" s="22" t="s">
        <v>4547</v>
      </c>
      <c r="E1619" s="19" t="s">
        <v>129</v>
      </c>
      <c r="F1619" s="19" t="s">
        <v>3883</v>
      </c>
      <c r="G1619" s="19" t="s">
        <v>135</v>
      </c>
      <c r="H1619" s="22" t="s">
        <v>155</v>
      </c>
      <c r="I1619" s="25" t="s">
        <v>4548</v>
      </c>
      <c r="J1619" s="19"/>
      <c r="K1619" s="19" t="s">
        <v>13</v>
      </c>
      <c r="L1619" s="22" t="s">
        <v>698</v>
      </c>
      <c r="M1619" s="26"/>
      <c r="N1619" s="26"/>
      <c r="O1619" s="26"/>
      <c r="P1619" s="26"/>
      <c r="Q1619" s="26"/>
    </row>
    <row r="1620" ht="15.75" hidden="1" customHeight="1">
      <c r="A1620" s="31" t="s">
        <v>39</v>
      </c>
      <c r="B1620" s="9" t="s">
        <v>4530</v>
      </c>
      <c r="C1620" s="19" t="s">
        <v>4359</v>
      </c>
      <c r="D1620" s="22" t="s">
        <v>4549</v>
      </c>
      <c r="E1620" s="19" t="s">
        <v>129</v>
      </c>
      <c r="F1620" s="19" t="s">
        <v>4361</v>
      </c>
      <c r="G1620" s="19" t="s">
        <v>135</v>
      </c>
      <c r="H1620" s="22" t="s">
        <v>155</v>
      </c>
      <c r="I1620" s="25" t="s">
        <v>4550</v>
      </c>
      <c r="J1620" s="19" t="s">
        <v>95</v>
      </c>
      <c r="K1620" s="19" t="s">
        <v>78</v>
      </c>
      <c r="L1620" s="22" t="s">
        <v>723</v>
      </c>
      <c r="M1620" s="26"/>
      <c r="N1620" s="26"/>
      <c r="O1620" s="26"/>
      <c r="P1620" s="26"/>
      <c r="Q1620" s="26"/>
    </row>
    <row r="1621" ht="15.75" hidden="1" customHeight="1">
      <c r="A1621" s="31" t="s">
        <v>39</v>
      </c>
      <c r="B1621" s="9" t="s">
        <v>4530</v>
      </c>
      <c r="C1621" s="19" t="s">
        <v>3916</v>
      </c>
      <c r="D1621" s="22" t="s">
        <v>4551</v>
      </c>
      <c r="E1621" s="19" t="s">
        <v>129</v>
      </c>
      <c r="F1621" s="19" t="s">
        <v>89</v>
      </c>
      <c r="G1621" s="19" t="s">
        <v>135</v>
      </c>
      <c r="H1621" s="22" t="s">
        <v>155</v>
      </c>
      <c r="I1621" s="25" t="s">
        <v>3918</v>
      </c>
      <c r="J1621" s="19" t="s">
        <v>319</v>
      </c>
      <c r="K1621" s="19" t="s">
        <v>78</v>
      </c>
      <c r="L1621" s="22" t="s">
        <v>723</v>
      </c>
      <c r="M1621" s="26"/>
      <c r="N1621" s="26"/>
      <c r="O1621" s="26"/>
      <c r="P1621" s="26"/>
      <c r="Q1621" s="26"/>
    </row>
    <row r="1622" ht="15.75" hidden="1" customHeight="1">
      <c r="A1622" s="31" t="s">
        <v>39</v>
      </c>
      <c r="B1622" s="9" t="s">
        <v>4530</v>
      </c>
      <c r="C1622" s="19" t="s">
        <v>1915</v>
      </c>
      <c r="D1622" s="22" t="s">
        <v>4552</v>
      </c>
      <c r="E1622" s="19" t="s">
        <v>121</v>
      </c>
      <c r="F1622" s="19" t="s">
        <v>1167</v>
      </c>
      <c r="G1622" s="19" t="s">
        <v>135</v>
      </c>
      <c r="H1622" s="22" t="s">
        <v>155</v>
      </c>
      <c r="I1622" s="25" t="s">
        <v>4553</v>
      </c>
      <c r="J1622" s="19"/>
      <c r="K1622" s="19" t="s">
        <v>99</v>
      </c>
      <c r="L1622" s="22" t="s">
        <v>4554</v>
      </c>
      <c r="M1622" s="26"/>
      <c r="N1622" s="26"/>
      <c r="O1622" s="26"/>
      <c r="P1622" s="26"/>
      <c r="Q1622" s="26"/>
    </row>
    <row r="1623" ht="15.75" hidden="1" customHeight="1">
      <c r="A1623" s="31" t="s">
        <v>39</v>
      </c>
      <c r="B1623" s="9" t="s">
        <v>4530</v>
      </c>
      <c r="C1623" s="19" t="s">
        <v>4555</v>
      </c>
      <c r="D1623" s="22" t="s">
        <v>4556</v>
      </c>
      <c r="E1623" s="19" t="s">
        <v>127</v>
      </c>
      <c r="F1623" s="19" t="s">
        <v>4557</v>
      </c>
      <c r="G1623" s="19" t="s">
        <v>135</v>
      </c>
      <c r="H1623" s="22" t="s">
        <v>155</v>
      </c>
      <c r="I1623" s="25" t="s">
        <v>4558</v>
      </c>
      <c r="J1623" s="19"/>
      <c r="K1623" s="19" t="s">
        <v>74</v>
      </c>
      <c r="L1623" s="22" t="s">
        <v>723</v>
      </c>
      <c r="M1623" s="26"/>
      <c r="N1623" s="26"/>
      <c r="O1623" s="26"/>
      <c r="P1623" s="26"/>
      <c r="Q1623" s="26"/>
    </row>
    <row r="1624" ht="15.75" hidden="1" customHeight="1">
      <c r="A1624" s="31" t="s">
        <v>39</v>
      </c>
      <c r="B1624" s="9" t="s">
        <v>4530</v>
      </c>
      <c r="C1624" s="19" t="s">
        <v>4208</v>
      </c>
      <c r="D1624" s="22" t="s">
        <v>4559</v>
      </c>
      <c r="E1624" s="19" t="s">
        <v>127</v>
      </c>
      <c r="F1624" s="19" t="s">
        <v>4560</v>
      </c>
      <c r="G1624" s="19" t="s">
        <v>135</v>
      </c>
      <c r="H1624" s="22" t="s">
        <v>155</v>
      </c>
      <c r="I1624" s="25" t="s">
        <v>4561</v>
      </c>
      <c r="J1624" s="19"/>
      <c r="K1624" s="19" t="s">
        <v>122</v>
      </c>
      <c r="L1624" s="22" t="s">
        <v>4562</v>
      </c>
      <c r="M1624" s="26"/>
      <c r="N1624" s="26"/>
      <c r="O1624" s="26"/>
      <c r="P1624" s="26"/>
      <c r="Q1624" s="26"/>
    </row>
    <row r="1625" ht="15.75" hidden="1" customHeight="1">
      <c r="A1625" s="31" t="s">
        <v>39</v>
      </c>
      <c r="B1625" s="9" t="s">
        <v>4530</v>
      </c>
      <c r="C1625" s="19" t="s">
        <v>4208</v>
      </c>
      <c r="D1625" s="22" t="s">
        <v>4563</v>
      </c>
      <c r="E1625" s="19" t="s">
        <v>129</v>
      </c>
      <c r="F1625" s="19" t="s">
        <v>2093</v>
      </c>
      <c r="G1625" s="19" t="s">
        <v>135</v>
      </c>
      <c r="H1625" s="22" t="s">
        <v>155</v>
      </c>
      <c r="I1625" s="25" t="s">
        <v>4564</v>
      </c>
      <c r="J1625" s="19"/>
      <c r="K1625" s="19" t="s">
        <v>99</v>
      </c>
      <c r="L1625" s="22" t="s">
        <v>4562</v>
      </c>
      <c r="M1625" s="26"/>
      <c r="N1625" s="26"/>
      <c r="O1625" s="26"/>
      <c r="P1625" s="26"/>
      <c r="Q1625" s="26"/>
    </row>
    <row r="1626" ht="15.75" hidden="1" customHeight="1">
      <c r="A1626" s="31" t="s">
        <v>39</v>
      </c>
      <c r="B1626" s="9" t="s">
        <v>4530</v>
      </c>
      <c r="C1626" s="19" t="s">
        <v>4565</v>
      </c>
      <c r="D1626" s="22" t="s">
        <v>4566</v>
      </c>
      <c r="E1626" s="19" t="s">
        <v>121</v>
      </c>
      <c r="F1626" s="19" t="s">
        <v>2727</v>
      </c>
      <c r="G1626" s="19" t="s">
        <v>142</v>
      </c>
      <c r="H1626" s="22" t="s">
        <v>155</v>
      </c>
      <c r="I1626" s="25" t="s">
        <v>4567</v>
      </c>
      <c r="J1626" s="19" t="s">
        <v>373</v>
      </c>
      <c r="K1626" s="19" t="s">
        <v>92</v>
      </c>
      <c r="L1626" s="22"/>
      <c r="M1626" s="26"/>
      <c r="N1626" s="26"/>
      <c r="O1626" s="26"/>
      <c r="P1626" s="26"/>
      <c r="Q1626" s="26"/>
    </row>
    <row r="1627" ht="15.75" hidden="1" customHeight="1">
      <c r="A1627" s="31" t="s">
        <v>39</v>
      </c>
      <c r="B1627" s="9" t="s">
        <v>4530</v>
      </c>
      <c r="C1627" s="19" t="s">
        <v>4568</v>
      </c>
      <c r="D1627" s="22" t="s">
        <v>4569</v>
      </c>
      <c r="E1627" s="19" t="s">
        <v>127</v>
      </c>
      <c r="F1627" s="19" t="s">
        <v>2221</v>
      </c>
      <c r="G1627" s="19" t="s">
        <v>135</v>
      </c>
      <c r="H1627" s="22" t="s">
        <v>155</v>
      </c>
      <c r="I1627" s="25" t="s">
        <v>4570</v>
      </c>
      <c r="J1627" s="19"/>
      <c r="K1627" s="19" t="s">
        <v>74</v>
      </c>
      <c r="L1627" s="22" t="s">
        <v>723</v>
      </c>
      <c r="M1627" s="26"/>
      <c r="N1627" s="26"/>
      <c r="O1627" s="26"/>
      <c r="P1627" s="26"/>
      <c r="Q1627" s="26"/>
    </row>
    <row r="1628" ht="15.75" customHeight="1">
      <c r="A1628" s="31" t="s">
        <v>39</v>
      </c>
      <c r="B1628" s="9" t="s">
        <v>4571</v>
      </c>
      <c r="C1628" s="19" t="s">
        <v>174</v>
      </c>
      <c r="D1628" s="22" t="s">
        <v>4572</v>
      </c>
      <c r="E1628" s="19" t="s">
        <v>119</v>
      </c>
      <c r="F1628" s="19" t="s">
        <v>335</v>
      </c>
      <c r="G1628" s="19" t="s">
        <v>90</v>
      </c>
      <c r="H1628" s="32" t="s">
        <v>2956</v>
      </c>
      <c r="I1628" s="25" t="s">
        <v>4573</v>
      </c>
      <c r="J1628" s="19"/>
      <c r="K1628" s="19" t="s">
        <v>100</v>
      </c>
      <c r="L1628" s="22"/>
      <c r="M1628" s="26"/>
      <c r="N1628" s="26"/>
      <c r="O1628" s="26"/>
      <c r="P1628" s="26"/>
      <c r="Q1628" s="26"/>
    </row>
    <row r="1629" ht="15.75" hidden="1" customHeight="1">
      <c r="A1629" s="31" t="s">
        <v>39</v>
      </c>
      <c r="B1629" s="9" t="s">
        <v>4574</v>
      </c>
      <c r="C1629" s="19" t="s">
        <v>3207</v>
      </c>
      <c r="D1629" s="22" t="s">
        <v>4575</v>
      </c>
      <c r="E1629" s="19" t="s">
        <v>121</v>
      </c>
      <c r="F1629" s="19" t="s">
        <v>631</v>
      </c>
      <c r="G1629" s="19" t="s">
        <v>142</v>
      </c>
      <c r="H1629" s="22" t="s">
        <v>365</v>
      </c>
      <c r="I1629" s="25" t="s">
        <v>4576</v>
      </c>
      <c r="J1629" s="19" t="s">
        <v>782</v>
      </c>
      <c r="K1629" s="19" t="s">
        <v>145</v>
      </c>
      <c r="L1629" s="22" t="s">
        <v>4577</v>
      </c>
      <c r="M1629" s="26"/>
      <c r="N1629" s="26"/>
      <c r="O1629" s="26"/>
      <c r="P1629" s="26"/>
      <c r="Q1629" s="26"/>
    </row>
    <row r="1630" ht="15.75" hidden="1" customHeight="1">
      <c r="A1630" s="31" t="s">
        <v>39</v>
      </c>
      <c r="B1630" s="9" t="s">
        <v>4574</v>
      </c>
      <c r="C1630" s="19" t="s">
        <v>4578</v>
      </c>
      <c r="D1630" s="22" t="s">
        <v>4579</v>
      </c>
      <c r="E1630" s="19" t="s">
        <v>121</v>
      </c>
      <c r="F1630" s="19" t="s">
        <v>3575</v>
      </c>
      <c r="G1630" s="19" t="s">
        <v>135</v>
      </c>
      <c r="H1630" s="22" t="s">
        <v>365</v>
      </c>
      <c r="I1630" s="25" t="s">
        <v>4580</v>
      </c>
      <c r="J1630" s="19"/>
      <c r="K1630" s="19" t="s">
        <v>137</v>
      </c>
      <c r="L1630" s="22" t="s">
        <v>4581</v>
      </c>
      <c r="M1630" s="26"/>
      <c r="N1630" s="26"/>
      <c r="O1630" s="26"/>
      <c r="P1630" s="26"/>
      <c r="Q1630" s="26"/>
    </row>
    <row r="1631" ht="15.75" hidden="1" customHeight="1">
      <c r="A1631" s="31" t="s">
        <v>39</v>
      </c>
      <c r="B1631" s="9" t="s">
        <v>4574</v>
      </c>
      <c r="C1631" s="19" t="s">
        <v>4582</v>
      </c>
      <c r="D1631" s="22" t="s">
        <v>3122</v>
      </c>
      <c r="E1631" s="19" t="s">
        <v>121</v>
      </c>
      <c r="F1631" s="19" t="s">
        <v>89</v>
      </c>
      <c r="G1631" s="19" t="s">
        <v>135</v>
      </c>
      <c r="H1631" s="22" t="s">
        <v>365</v>
      </c>
      <c r="I1631" s="25" t="s">
        <v>4583</v>
      </c>
      <c r="J1631" s="19"/>
      <c r="K1631" s="19" t="s">
        <v>99</v>
      </c>
      <c r="L1631" s="22" t="s">
        <v>539</v>
      </c>
      <c r="M1631" s="26"/>
      <c r="N1631" s="26"/>
      <c r="O1631" s="26"/>
      <c r="P1631" s="26"/>
      <c r="Q1631" s="26"/>
    </row>
    <row r="1632" ht="15.75" hidden="1" customHeight="1">
      <c r="A1632" s="31" t="s">
        <v>39</v>
      </c>
      <c r="B1632" s="9" t="s">
        <v>4574</v>
      </c>
      <c r="C1632" s="19" t="s">
        <v>2906</v>
      </c>
      <c r="D1632" s="22" t="s">
        <v>4584</v>
      </c>
      <c r="E1632" s="19" t="s">
        <v>121</v>
      </c>
      <c r="F1632" s="19" t="s">
        <v>4585</v>
      </c>
      <c r="G1632" s="19" t="s">
        <v>142</v>
      </c>
      <c r="H1632" s="22" t="s">
        <v>365</v>
      </c>
      <c r="I1632" s="25" t="s">
        <v>4586</v>
      </c>
      <c r="J1632" s="19" t="s">
        <v>140</v>
      </c>
      <c r="K1632" s="19" t="s">
        <v>99</v>
      </c>
      <c r="L1632" s="22" t="s">
        <v>4587</v>
      </c>
      <c r="M1632" s="26"/>
      <c r="N1632" s="26"/>
      <c r="O1632" s="26"/>
      <c r="P1632" s="26"/>
      <c r="Q1632" s="26"/>
    </row>
    <row r="1633" ht="15.75" hidden="1" customHeight="1">
      <c r="A1633" s="31" t="s">
        <v>39</v>
      </c>
      <c r="B1633" s="9" t="s">
        <v>4574</v>
      </c>
      <c r="C1633" s="19" t="s">
        <v>4081</v>
      </c>
      <c r="D1633" s="22" t="s">
        <v>4588</v>
      </c>
      <c r="E1633" s="19" t="s">
        <v>121</v>
      </c>
      <c r="F1633" s="19" t="s">
        <v>3973</v>
      </c>
      <c r="G1633" s="19" t="s">
        <v>135</v>
      </c>
      <c r="H1633" s="22" t="s">
        <v>365</v>
      </c>
      <c r="I1633" s="25" t="s">
        <v>4086</v>
      </c>
      <c r="J1633" s="19" t="s">
        <v>319</v>
      </c>
      <c r="K1633" s="19" t="s">
        <v>99</v>
      </c>
      <c r="L1633" s="22" t="s">
        <v>4257</v>
      </c>
      <c r="M1633" s="26"/>
      <c r="N1633" s="26"/>
      <c r="O1633" s="26"/>
      <c r="P1633" s="26"/>
      <c r="Q1633" s="26"/>
    </row>
    <row r="1634" ht="15.75" hidden="1" customHeight="1">
      <c r="A1634" s="31" t="s">
        <v>39</v>
      </c>
      <c r="B1634" s="9" t="s">
        <v>4574</v>
      </c>
      <c r="C1634" s="19" t="s">
        <v>1915</v>
      </c>
      <c r="D1634" s="22" t="s">
        <v>4589</v>
      </c>
      <c r="E1634" s="19" t="s">
        <v>121</v>
      </c>
      <c r="F1634" s="19" t="s">
        <v>241</v>
      </c>
      <c r="G1634" s="19" t="s">
        <v>135</v>
      </c>
      <c r="H1634" s="22" t="s">
        <v>365</v>
      </c>
      <c r="I1634" s="25" t="s">
        <v>4590</v>
      </c>
      <c r="J1634" s="19"/>
      <c r="K1634" s="19" t="s">
        <v>137</v>
      </c>
      <c r="L1634" s="22"/>
      <c r="M1634" s="26"/>
      <c r="N1634" s="26"/>
      <c r="O1634" s="26"/>
      <c r="P1634" s="26"/>
      <c r="Q1634" s="26"/>
    </row>
    <row r="1635" ht="15.75" hidden="1" customHeight="1">
      <c r="A1635" s="31" t="s">
        <v>39</v>
      </c>
      <c r="B1635" s="9" t="s">
        <v>4574</v>
      </c>
      <c r="C1635" s="19" t="s">
        <v>3704</v>
      </c>
      <c r="D1635" s="22" t="s">
        <v>4591</v>
      </c>
      <c r="E1635" s="19" t="s">
        <v>127</v>
      </c>
      <c r="F1635" s="19" t="s">
        <v>560</v>
      </c>
      <c r="G1635" s="19" t="s">
        <v>142</v>
      </c>
      <c r="H1635" s="22" t="s">
        <v>365</v>
      </c>
      <c r="I1635" s="25" t="s">
        <v>3706</v>
      </c>
      <c r="J1635" s="19"/>
      <c r="K1635" s="19" t="s">
        <v>122</v>
      </c>
      <c r="L1635" s="22" t="s">
        <v>539</v>
      </c>
      <c r="M1635" s="26"/>
      <c r="N1635" s="26"/>
      <c r="O1635" s="26"/>
      <c r="P1635" s="26"/>
      <c r="Q1635" s="26"/>
    </row>
    <row r="1636" ht="15.75" hidden="1" customHeight="1">
      <c r="A1636" s="31" t="s">
        <v>39</v>
      </c>
      <c r="B1636" s="9" t="s">
        <v>4574</v>
      </c>
      <c r="C1636" s="19" t="s">
        <v>3704</v>
      </c>
      <c r="D1636" s="22" t="s">
        <v>4592</v>
      </c>
      <c r="E1636" s="19" t="s">
        <v>121</v>
      </c>
      <c r="F1636" s="19" t="s">
        <v>2221</v>
      </c>
      <c r="G1636" s="19" t="s">
        <v>135</v>
      </c>
      <c r="H1636" s="22" t="s">
        <v>365</v>
      </c>
      <c r="I1636" s="25" t="s">
        <v>4593</v>
      </c>
      <c r="J1636" s="19"/>
      <c r="K1636" s="19" t="s">
        <v>99</v>
      </c>
      <c r="L1636" s="22" t="s">
        <v>539</v>
      </c>
      <c r="M1636" s="26"/>
      <c r="N1636" s="26"/>
      <c r="O1636" s="26"/>
      <c r="P1636" s="26"/>
      <c r="Q1636" s="26"/>
    </row>
    <row r="1637" ht="15.75" hidden="1" customHeight="1">
      <c r="A1637" s="31" t="s">
        <v>39</v>
      </c>
      <c r="B1637" s="9" t="s">
        <v>4574</v>
      </c>
      <c r="C1637" s="19" t="s">
        <v>4594</v>
      </c>
      <c r="D1637" s="22" t="s">
        <v>4595</v>
      </c>
      <c r="E1637" s="19" t="s">
        <v>121</v>
      </c>
      <c r="F1637" s="19" t="s">
        <v>3011</v>
      </c>
      <c r="G1637" s="19" t="s">
        <v>135</v>
      </c>
      <c r="H1637" s="22" t="s">
        <v>365</v>
      </c>
      <c r="I1637" s="25" t="s">
        <v>4596</v>
      </c>
      <c r="J1637" s="19" t="s">
        <v>561</v>
      </c>
      <c r="K1637" s="19" t="s">
        <v>94</v>
      </c>
      <c r="L1637" s="22" t="s">
        <v>4597</v>
      </c>
      <c r="M1637" s="26"/>
      <c r="N1637" s="26"/>
      <c r="O1637" s="26"/>
      <c r="P1637" s="26"/>
      <c r="Q1637" s="26"/>
    </row>
    <row r="1638" ht="15.75" hidden="1" customHeight="1">
      <c r="A1638" s="31" t="s">
        <v>39</v>
      </c>
      <c r="B1638" s="9" t="s">
        <v>4574</v>
      </c>
      <c r="C1638" s="19" t="s">
        <v>2152</v>
      </c>
      <c r="D1638" s="22" t="s">
        <v>4598</v>
      </c>
      <c r="E1638" s="19" t="s">
        <v>121</v>
      </c>
      <c r="F1638" s="19" t="s">
        <v>4404</v>
      </c>
      <c r="G1638" s="19" t="s">
        <v>135</v>
      </c>
      <c r="H1638" s="22" t="s">
        <v>365</v>
      </c>
      <c r="I1638" s="25" t="s">
        <v>4599</v>
      </c>
      <c r="J1638" s="19"/>
      <c r="K1638" s="19" t="s">
        <v>122</v>
      </c>
      <c r="L1638" s="22" t="s">
        <v>4600</v>
      </c>
      <c r="M1638" s="26"/>
      <c r="N1638" s="26"/>
      <c r="O1638" s="26"/>
      <c r="P1638" s="26"/>
      <c r="Q1638" s="26"/>
    </row>
    <row r="1639" ht="15.75" hidden="1" customHeight="1">
      <c r="A1639" s="31" t="s">
        <v>39</v>
      </c>
      <c r="B1639" s="9" t="s">
        <v>4574</v>
      </c>
      <c r="C1639" s="19" t="s">
        <v>4196</v>
      </c>
      <c r="D1639" s="22" t="s">
        <v>4601</v>
      </c>
      <c r="E1639" s="19" t="s">
        <v>127</v>
      </c>
      <c r="F1639" s="19" t="s">
        <v>1220</v>
      </c>
      <c r="G1639" s="19" t="s">
        <v>135</v>
      </c>
      <c r="H1639" s="22" t="s">
        <v>365</v>
      </c>
      <c r="I1639" s="25" t="s">
        <v>4602</v>
      </c>
      <c r="J1639" s="19" t="s">
        <v>1349</v>
      </c>
      <c r="K1639" s="19" t="s">
        <v>82</v>
      </c>
      <c r="L1639" s="22" t="s">
        <v>4603</v>
      </c>
      <c r="M1639" s="26"/>
      <c r="N1639" s="26"/>
      <c r="O1639" s="26"/>
      <c r="P1639" s="26"/>
      <c r="Q1639" s="26"/>
    </row>
    <row r="1640" ht="15.75" hidden="1" customHeight="1">
      <c r="A1640" s="31" t="s">
        <v>39</v>
      </c>
      <c r="B1640" s="9" t="s">
        <v>4574</v>
      </c>
      <c r="C1640" s="19" t="s">
        <v>4604</v>
      </c>
      <c r="D1640" s="22" t="s">
        <v>4605</v>
      </c>
      <c r="E1640" s="19" t="s">
        <v>127</v>
      </c>
      <c r="F1640" s="19" t="s">
        <v>2093</v>
      </c>
      <c r="G1640" s="19" t="s">
        <v>135</v>
      </c>
      <c r="H1640" s="22" t="s">
        <v>365</v>
      </c>
      <c r="I1640" s="25" t="s">
        <v>4606</v>
      </c>
      <c r="J1640" s="19"/>
      <c r="K1640" s="19" t="s">
        <v>13</v>
      </c>
      <c r="L1640" s="22" t="s">
        <v>4607</v>
      </c>
      <c r="M1640" s="26"/>
      <c r="N1640" s="26"/>
      <c r="O1640" s="26"/>
      <c r="P1640" s="26"/>
      <c r="Q1640" s="26"/>
    </row>
    <row r="1641" ht="15.75" hidden="1" customHeight="1">
      <c r="A1641" s="31" t="s">
        <v>39</v>
      </c>
      <c r="B1641" s="9" t="s">
        <v>4574</v>
      </c>
      <c r="C1641" s="19" t="s">
        <v>1513</v>
      </c>
      <c r="D1641" s="22" t="s">
        <v>4608</v>
      </c>
      <c r="E1641" s="19" t="s">
        <v>121</v>
      </c>
      <c r="F1641" s="19" t="s">
        <v>1803</v>
      </c>
      <c r="G1641" s="19" t="s">
        <v>142</v>
      </c>
      <c r="H1641" s="22" t="s">
        <v>365</v>
      </c>
      <c r="I1641" s="25" t="s">
        <v>4609</v>
      </c>
      <c r="J1641" s="19" t="s">
        <v>95</v>
      </c>
      <c r="K1641" s="19" t="s">
        <v>82</v>
      </c>
      <c r="L1641" s="22" t="s">
        <v>4236</v>
      </c>
      <c r="M1641" s="26"/>
      <c r="N1641" s="26"/>
      <c r="O1641" s="26"/>
      <c r="P1641" s="26"/>
      <c r="Q1641" s="26"/>
    </row>
    <row r="1642" ht="15.75" hidden="1" customHeight="1">
      <c r="A1642" s="31" t="s">
        <v>39</v>
      </c>
      <c r="B1642" s="9" t="s">
        <v>4574</v>
      </c>
      <c r="C1642" s="19" t="s">
        <v>1513</v>
      </c>
      <c r="D1642" s="22" t="s">
        <v>4610</v>
      </c>
      <c r="E1642" s="19" t="s">
        <v>121</v>
      </c>
      <c r="F1642" s="19" t="s">
        <v>1803</v>
      </c>
      <c r="G1642" s="19" t="s">
        <v>142</v>
      </c>
      <c r="H1642" s="22" t="s">
        <v>365</v>
      </c>
      <c r="I1642" s="25" t="s">
        <v>4611</v>
      </c>
      <c r="J1642" s="19" t="s">
        <v>319</v>
      </c>
      <c r="K1642" s="19" t="s">
        <v>175</v>
      </c>
      <c r="L1642" s="22" t="s">
        <v>4612</v>
      </c>
      <c r="M1642" s="26"/>
      <c r="N1642" s="26"/>
      <c r="O1642" s="26"/>
      <c r="P1642" s="26"/>
      <c r="Q1642" s="26"/>
    </row>
    <row r="1643" ht="15.75" hidden="1" customHeight="1">
      <c r="A1643" s="31" t="s">
        <v>39</v>
      </c>
      <c r="B1643" s="9" t="s">
        <v>4574</v>
      </c>
      <c r="C1643" s="19" t="s">
        <v>4613</v>
      </c>
      <c r="D1643" s="22" t="s">
        <v>4614</v>
      </c>
      <c r="E1643" s="19" t="s">
        <v>129</v>
      </c>
      <c r="F1643" s="19" t="s">
        <v>4375</v>
      </c>
      <c r="G1643" s="19" t="s">
        <v>135</v>
      </c>
      <c r="H1643" s="22" t="s">
        <v>365</v>
      </c>
      <c r="I1643" s="25" t="s">
        <v>4615</v>
      </c>
      <c r="J1643" s="19" t="s">
        <v>319</v>
      </c>
      <c r="K1643" s="19" t="s">
        <v>156</v>
      </c>
      <c r="L1643" s="22"/>
      <c r="M1643" s="26"/>
      <c r="N1643" s="26"/>
      <c r="O1643" s="26"/>
      <c r="P1643" s="26"/>
      <c r="Q1643" s="26"/>
    </row>
    <row r="1644" ht="15.75" customHeight="1">
      <c r="A1644" s="31" t="s">
        <v>39</v>
      </c>
      <c r="B1644" s="9" t="s">
        <v>4616</v>
      </c>
      <c r="C1644" s="19" t="s">
        <v>2469</v>
      </c>
      <c r="D1644" s="22" t="s">
        <v>1362</v>
      </c>
      <c r="E1644" s="19" t="s">
        <v>109</v>
      </c>
      <c r="F1644" s="19" t="s">
        <v>2470</v>
      </c>
      <c r="G1644" s="19" t="s">
        <v>90</v>
      </c>
      <c r="H1644" s="32" t="s">
        <v>2956</v>
      </c>
      <c r="I1644" s="25" t="s">
        <v>4617</v>
      </c>
      <c r="J1644" s="19" t="s">
        <v>337</v>
      </c>
      <c r="K1644" s="19" t="s">
        <v>92</v>
      </c>
      <c r="L1644" s="22" t="s">
        <v>4005</v>
      </c>
      <c r="M1644" s="26"/>
      <c r="N1644" s="26"/>
      <c r="O1644" s="26"/>
      <c r="P1644" s="26"/>
      <c r="Q1644" s="26"/>
    </row>
    <row r="1645" ht="15.75" customHeight="1">
      <c r="A1645" s="31" t="s">
        <v>39</v>
      </c>
      <c r="B1645" s="9" t="s">
        <v>4616</v>
      </c>
      <c r="C1645" s="19" t="s">
        <v>4618</v>
      </c>
      <c r="D1645" s="22" t="s">
        <v>4619</v>
      </c>
      <c r="E1645" s="19" t="s">
        <v>109</v>
      </c>
      <c r="F1645" s="19" t="s">
        <v>4620</v>
      </c>
      <c r="G1645" s="19" t="s">
        <v>90</v>
      </c>
      <c r="H1645" s="32" t="s">
        <v>2956</v>
      </c>
      <c r="I1645" s="25" t="s">
        <v>4621</v>
      </c>
      <c r="J1645" s="19"/>
      <c r="K1645" s="19" t="s">
        <v>112</v>
      </c>
      <c r="L1645" s="22" t="s">
        <v>4005</v>
      </c>
      <c r="M1645" s="26"/>
      <c r="N1645" s="26"/>
      <c r="O1645" s="26"/>
      <c r="P1645" s="26"/>
      <c r="Q1645" s="26"/>
    </row>
    <row r="1646" ht="15.75" customHeight="1">
      <c r="A1646" s="31" t="s">
        <v>39</v>
      </c>
      <c r="B1646" s="9" t="s">
        <v>4616</v>
      </c>
      <c r="C1646" s="19" t="s">
        <v>4622</v>
      </c>
      <c r="D1646" s="22" t="s">
        <v>4623</v>
      </c>
      <c r="E1646" s="19" t="s">
        <v>109</v>
      </c>
      <c r="F1646" s="19" t="s">
        <v>3314</v>
      </c>
      <c r="G1646" s="19" t="s">
        <v>90</v>
      </c>
      <c r="H1646" s="32" t="s">
        <v>2956</v>
      </c>
      <c r="I1646" s="25" t="s">
        <v>4624</v>
      </c>
      <c r="J1646" s="19" t="s">
        <v>373</v>
      </c>
      <c r="K1646" s="19" t="s">
        <v>92</v>
      </c>
      <c r="L1646" s="22" t="s">
        <v>4005</v>
      </c>
      <c r="M1646" s="26"/>
      <c r="N1646" s="26"/>
      <c r="O1646" s="26"/>
      <c r="P1646" s="26"/>
      <c r="Q1646" s="26"/>
    </row>
    <row r="1647" ht="15.75" customHeight="1">
      <c r="A1647" s="31" t="s">
        <v>39</v>
      </c>
      <c r="B1647" s="9" t="s">
        <v>4616</v>
      </c>
      <c r="C1647" s="19" t="s">
        <v>4622</v>
      </c>
      <c r="D1647" s="22" t="s">
        <v>2015</v>
      </c>
      <c r="E1647" s="19" t="s">
        <v>109</v>
      </c>
      <c r="F1647" s="19" t="s">
        <v>2583</v>
      </c>
      <c r="G1647" s="19" t="s">
        <v>90</v>
      </c>
      <c r="H1647" s="32" t="s">
        <v>2956</v>
      </c>
      <c r="I1647" s="25" t="s">
        <v>4625</v>
      </c>
      <c r="J1647" s="19" t="s">
        <v>373</v>
      </c>
      <c r="K1647" s="19" t="s">
        <v>92</v>
      </c>
      <c r="L1647" s="22" t="s">
        <v>4005</v>
      </c>
      <c r="M1647" s="26"/>
      <c r="N1647" s="26"/>
      <c r="O1647" s="26"/>
      <c r="P1647" s="26"/>
      <c r="Q1647" s="26"/>
    </row>
    <row r="1648" ht="15.75" hidden="1" customHeight="1">
      <c r="A1648" s="31" t="s">
        <v>39</v>
      </c>
      <c r="B1648" s="9" t="s">
        <v>4616</v>
      </c>
      <c r="C1648" s="19" t="s">
        <v>4626</v>
      </c>
      <c r="D1648" s="22" t="s">
        <v>2762</v>
      </c>
      <c r="E1648" s="19" t="s">
        <v>109</v>
      </c>
      <c r="F1648" s="19" t="s">
        <v>335</v>
      </c>
      <c r="G1648" s="19" t="s">
        <v>57</v>
      </c>
      <c r="H1648" s="32" t="s">
        <v>2956</v>
      </c>
      <c r="I1648" s="25" t="s">
        <v>4627</v>
      </c>
      <c r="J1648" s="19"/>
      <c r="K1648" s="19" t="s">
        <v>105</v>
      </c>
      <c r="L1648" s="22" t="s">
        <v>4628</v>
      </c>
      <c r="M1648" s="26"/>
      <c r="N1648" s="26"/>
      <c r="O1648" s="26"/>
      <c r="P1648" s="26"/>
      <c r="Q1648" s="26"/>
    </row>
    <row r="1649" ht="15.75" hidden="1" customHeight="1">
      <c r="A1649" s="31" t="s">
        <v>39</v>
      </c>
      <c r="B1649" s="9" t="s">
        <v>4616</v>
      </c>
      <c r="C1649" s="19" t="s">
        <v>4626</v>
      </c>
      <c r="D1649" s="22" t="s">
        <v>4232</v>
      </c>
      <c r="E1649" s="19" t="s">
        <v>109</v>
      </c>
      <c r="F1649" s="19" t="s">
        <v>335</v>
      </c>
      <c r="G1649" s="19" t="s">
        <v>57</v>
      </c>
      <c r="H1649" s="32" t="s">
        <v>2956</v>
      </c>
      <c r="I1649" s="25" t="s">
        <v>4629</v>
      </c>
      <c r="J1649" s="19"/>
      <c r="K1649" s="19" t="s">
        <v>105</v>
      </c>
      <c r="L1649" s="22" t="s">
        <v>4628</v>
      </c>
      <c r="M1649" s="26"/>
      <c r="N1649" s="26"/>
      <c r="O1649" s="26"/>
      <c r="P1649" s="26"/>
      <c r="Q1649" s="26"/>
    </row>
    <row r="1650" ht="15.75" customHeight="1">
      <c r="A1650" s="31" t="s">
        <v>39</v>
      </c>
      <c r="B1650" s="9" t="s">
        <v>4616</v>
      </c>
      <c r="C1650" s="19" t="s">
        <v>4630</v>
      </c>
      <c r="D1650" s="22" t="s">
        <v>4631</v>
      </c>
      <c r="E1650" s="19" t="s">
        <v>109</v>
      </c>
      <c r="F1650" s="19" t="s">
        <v>3155</v>
      </c>
      <c r="G1650" s="19" t="s">
        <v>90</v>
      </c>
      <c r="H1650" s="32" t="s">
        <v>2956</v>
      </c>
      <c r="I1650" s="25" t="s">
        <v>4632</v>
      </c>
      <c r="J1650" s="19" t="s">
        <v>373</v>
      </c>
      <c r="K1650" s="19" t="s">
        <v>92</v>
      </c>
      <c r="L1650" s="22" t="s">
        <v>4005</v>
      </c>
      <c r="M1650" s="26"/>
      <c r="N1650" s="26"/>
      <c r="O1650" s="26"/>
      <c r="P1650" s="26"/>
      <c r="Q1650" s="26"/>
    </row>
    <row r="1651" ht="15.75" customHeight="1">
      <c r="A1651" s="31" t="s">
        <v>39</v>
      </c>
      <c r="B1651" s="9" t="s">
        <v>4633</v>
      </c>
      <c r="C1651" s="19" t="s">
        <v>1704</v>
      </c>
      <c r="D1651" s="22" t="s">
        <v>4634</v>
      </c>
      <c r="E1651" s="19" t="s">
        <v>127</v>
      </c>
      <c r="F1651" s="19" t="s">
        <v>335</v>
      </c>
      <c r="G1651" s="19" t="s">
        <v>90</v>
      </c>
      <c r="H1651" s="32" t="s">
        <v>2956</v>
      </c>
      <c r="I1651" s="25" t="s">
        <v>4635</v>
      </c>
      <c r="J1651" s="19"/>
      <c r="K1651" s="19" t="s">
        <v>100</v>
      </c>
      <c r="L1651" s="22" t="s">
        <v>4636</v>
      </c>
      <c r="M1651" s="26"/>
      <c r="N1651" s="26"/>
      <c r="O1651" s="26"/>
      <c r="P1651" s="26"/>
      <c r="Q1651" s="26"/>
    </row>
    <row r="1652" ht="15.75" hidden="1" customHeight="1">
      <c r="A1652" s="31" t="s">
        <v>39</v>
      </c>
      <c r="B1652" s="9" t="s">
        <v>4633</v>
      </c>
      <c r="C1652" s="19" t="s">
        <v>4637</v>
      </c>
      <c r="D1652" s="22" t="s">
        <v>1362</v>
      </c>
      <c r="E1652" s="19" t="s">
        <v>109</v>
      </c>
      <c r="F1652" s="19" t="s">
        <v>335</v>
      </c>
      <c r="G1652" s="19" t="s">
        <v>142</v>
      </c>
      <c r="H1652" s="32" t="s">
        <v>2956</v>
      </c>
      <c r="I1652" s="25" t="s">
        <v>4638</v>
      </c>
      <c r="J1652" s="19" t="s">
        <v>373</v>
      </c>
      <c r="K1652" s="19" t="s">
        <v>139</v>
      </c>
      <c r="L1652" s="22" t="s">
        <v>4639</v>
      </c>
      <c r="M1652" s="26"/>
      <c r="N1652" s="26"/>
      <c r="O1652" s="26"/>
      <c r="P1652" s="26"/>
      <c r="Q1652" s="26"/>
    </row>
    <row r="1653" ht="15.75" customHeight="1">
      <c r="A1653" s="31" t="s">
        <v>39</v>
      </c>
      <c r="B1653" s="9" t="s">
        <v>4640</v>
      </c>
      <c r="C1653" s="19" t="s">
        <v>2976</v>
      </c>
      <c r="D1653" s="22" t="s">
        <v>3184</v>
      </c>
      <c r="E1653" s="19" t="s">
        <v>115</v>
      </c>
      <c r="F1653" s="19" t="s">
        <v>552</v>
      </c>
      <c r="G1653" s="19" t="s">
        <v>90</v>
      </c>
      <c r="H1653" s="32" t="s">
        <v>2956</v>
      </c>
      <c r="I1653" s="25" t="s">
        <v>4641</v>
      </c>
      <c r="J1653" s="19" t="s">
        <v>456</v>
      </c>
      <c r="K1653" s="19" t="s">
        <v>92</v>
      </c>
      <c r="L1653" s="22" t="s">
        <v>4005</v>
      </c>
      <c r="M1653" s="26"/>
      <c r="N1653" s="26"/>
      <c r="O1653" s="26"/>
      <c r="P1653" s="26"/>
      <c r="Q1653" s="26"/>
    </row>
    <row r="1654" ht="15.75" customHeight="1">
      <c r="A1654" s="31" t="s">
        <v>39</v>
      </c>
      <c r="B1654" s="9" t="s">
        <v>4640</v>
      </c>
      <c r="C1654" s="19" t="s">
        <v>4642</v>
      </c>
      <c r="D1654" s="22" t="s">
        <v>4643</v>
      </c>
      <c r="E1654" s="19" t="s">
        <v>115</v>
      </c>
      <c r="F1654" s="19" t="s">
        <v>134</v>
      </c>
      <c r="G1654" s="19" t="s">
        <v>90</v>
      </c>
      <c r="H1654" s="32" t="s">
        <v>2956</v>
      </c>
      <c r="I1654" s="25" t="s">
        <v>2839</v>
      </c>
      <c r="J1654" s="19"/>
      <c r="K1654" s="19" t="s">
        <v>100</v>
      </c>
      <c r="L1654" s="22"/>
      <c r="M1654" s="26"/>
      <c r="N1654" s="26"/>
      <c r="O1654" s="26"/>
      <c r="P1654" s="26"/>
      <c r="Q1654" s="26"/>
    </row>
    <row r="1655" ht="15.75" hidden="1" customHeight="1">
      <c r="A1655" s="31" t="s">
        <v>39</v>
      </c>
      <c r="B1655" s="9" t="s">
        <v>4644</v>
      </c>
      <c r="C1655" s="19" t="s">
        <v>4645</v>
      </c>
      <c r="D1655" s="22" t="s">
        <v>2868</v>
      </c>
      <c r="E1655" s="19" t="s">
        <v>109</v>
      </c>
      <c r="F1655" s="19" t="s">
        <v>508</v>
      </c>
      <c r="G1655" s="19" t="s">
        <v>57</v>
      </c>
      <c r="H1655" s="32" t="s">
        <v>2956</v>
      </c>
      <c r="I1655" s="25" t="s">
        <v>4646</v>
      </c>
      <c r="J1655" s="19"/>
      <c r="K1655" s="19" t="s">
        <v>105</v>
      </c>
      <c r="L1655" s="22" t="s">
        <v>4628</v>
      </c>
      <c r="M1655" s="26"/>
      <c r="N1655" s="26"/>
      <c r="O1655" s="26"/>
      <c r="P1655" s="26"/>
      <c r="Q1655" s="26"/>
    </row>
    <row r="1656" ht="15.75" customHeight="1">
      <c r="A1656" s="31" t="s">
        <v>39</v>
      </c>
      <c r="B1656" s="9" t="s">
        <v>4647</v>
      </c>
      <c r="C1656" s="19" t="s">
        <v>2368</v>
      </c>
      <c r="D1656" s="22" t="s">
        <v>4648</v>
      </c>
      <c r="E1656" s="19" t="s">
        <v>127</v>
      </c>
      <c r="F1656" s="19" t="s">
        <v>2370</v>
      </c>
      <c r="G1656" s="19" t="s">
        <v>90</v>
      </c>
      <c r="H1656" s="32" t="s">
        <v>2956</v>
      </c>
      <c r="I1656" s="25" t="s">
        <v>4649</v>
      </c>
      <c r="J1656" s="19"/>
      <c r="K1656" s="19" t="s">
        <v>112</v>
      </c>
      <c r="L1656" s="22" t="s">
        <v>4005</v>
      </c>
      <c r="M1656" s="26"/>
      <c r="N1656" s="26"/>
      <c r="O1656" s="26"/>
      <c r="P1656" s="26"/>
      <c r="Q1656" s="26"/>
    </row>
    <row r="1657" ht="15.75" customHeight="1">
      <c r="A1657" s="31" t="s">
        <v>39</v>
      </c>
      <c r="B1657" s="9" t="s">
        <v>4647</v>
      </c>
      <c r="C1657" s="19" t="s">
        <v>2368</v>
      </c>
      <c r="D1657" s="22" t="s">
        <v>4650</v>
      </c>
      <c r="E1657" s="19" t="s">
        <v>129</v>
      </c>
      <c r="F1657" s="19" t="s">
        <v>2370</v>
      </c>
      <c r="G1657" s="19" t="s">
        <v>90</v>
      </c>
      <c r="H1657" s="32" t="s">
        <v>2956</v>
      </c>
      <c r="I1657" s="25" t="s">
        <v>4651</v>
      </c>
      <c r="J1657" s="19"/>
      <c r="K1657" s="19" t="s">
        <v>112</v>
      </c>
      <c r="L1657" s="22" t="s">
        <v>4005</v>
      </c>
      <c r="M1657" s="26"/>
      <c r="N1657" s="26"/>
      <c r="O1657" s="26"/>
      <c r="P1657" s="26"/>
      <c r="Q1657" s="26"/>
    </row>
    <row r="1658" ht="15.75" customHeight="1">
      <c r="A1658" s="31" t="s">
        <v>39</v>
      </c>
      <c r="B1658" s="9" t="s">
        <v>4647</v>
      </c>
      <c r="C1658" s="19" t="s">
        <v>787</v>
      </c>
      <c r="D1658" s="22" t="s">
        <v>4652</v>
      </c>
      <c r="E1658" s="19" t="s">
        <v>127</v>
      </c>
      <c r="F1658" s="19" t="s">
        <v>2583</v>
      </c>
      <c r="G1658" s="19" t="s">
        <v>90</v>
      </c>
      <c r="H1658" s="32" t="s">
        <v>2956</v>
      </c>
      <c r="I1658" s="25" t="s">
        <v>789</v>
      </c>
      <c r="J1658" s="19"/>
      <c r="K1658" s="19" t="s">
        <v>100</v>
      </c>
      <c r="L1658" s="22" t="s">
        <v>2028</v>
      </c>
      <c r="M1658" s="26"/>
      <c r="N1658" s="26"/>
      <c r="O1658" s="26"/>
      <c r="P1658" s="26"/>
      <c r="Q1658" s="26"/>
    </row>
    <row r="1659" ht="15.75" hidden="1" customHeight="1">
      <c r="A1659" s="31" t="s">
        <v>39</v>
      </c>
      <c r="B1659" s="9" t="s">
        <v>4647</v>
      </c>
      <c r="C1659" s="19" t="s">
        <v>4637</v>
      </c>
      <c r="D1659" s="22" t="s">
        <v>1362</v>
      </c>
      <c r="E1659" s="19" t="s">
        <v>109</v>
      </c>
      <c r="F1659" s="19" t="s">
        <v>4653</v>
      </c>
      <c r="G1659" s="19" t="s">
        <v>142</v>
      </c>
      <c r="H1659" s="32" t="s">
        <v>2956</v>
      </c>
      <c r="I1659" s="25" t="s">
        <v>4654</v>
      </c>
      <c r="J1659" s="19" t="s">
        <v>373</v>
      </c>
      <c r="K1659" s="19" t="s">
        <v>139</v>
      </c>
      <c r="L1659" s="22" t="s">
        <v>4639</v>
      </c>
      <c r="M1659" s="26"/>
      <c r="N1659" s="26"/>
      <c r="O1659" s="26"/>
      <c r="P1659" s="26"/>
      <c r="Q1659" s="26"/>
    </row>
    <row r="1660" ht="15.75" hidden="1" customHeight="1">
      <c r="A1660" s="31" t="s">
        <v>39</v>
      </c>
      <c r="B1660" s="9" t="s">
        <v>4655</v>
      </c>
      <c r="C1660" s="19" t="s">
        <v>2469</v>
      </c>
      <c r="D1660" s="22" t="s">
        <v>4656</v>
      </c>
      <c r="E1660" s="19" t="s">
        <v>129</v>
      </c>
      <c r="F1660" s="19" t="s">
        <v>2470</v>
      </c>
      <c r="G1660" s="19" t="s">
        <v>135</v>
      </c>
      <c r="H1660" s="32" t="s">
        <v>2956</v>
      </c>
      <c r="I1660" s="25" t="s">
        <v>4657</v>
      </c>
      <c r="J1660" s="19" t="s">
        <v>782</v>
      </c>
      <c r="K1660" s="19" t="s">
        <v>78</v>
      </c>
      <c r="L1660" s="22" t="s">
        <v>723</v>
      </c>
      <c r="M1660" s="26"/>
      <c r="N1660" s="26"/>
      <c r="O1660" s="26"/>
      <c r="P1660" s="26"/>
      <c r="Q1660" s="26"/>
    </row>
  </sheetData>
  <autoFilter ref="$A$1:$Q$1660">
    <filterColumn colId="6">
      <filters>
        <filter val="Summer 2027"/>
      </filters>
    </filterColumn>
  </autoFilter>
  <dataValidations>
    <dataValidation type="list" allowBlank="1" sqref="M2:M1660">
      <formula1>"Not started,Applied,OA / take-home,Phone screen,Onsite / final,Offer,Rejected,Posting closed"</formula1>
    </dataValidation>
    <dataValidation type="list" allowBlank="1" sqref="O2:O1660">
      <formula1>"Yes,No,Looking for one"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  <hyperlink r:id="rId206" ref="I207"/>
    <hyperlink r:id="rId207" ref="I208"/>
    <hyperlink r:id="rId208" ref="I209"/>
    <hyperlink r:id="rId209" ref="I210"/>
    <hyperlink r:id="rId210" ref="I211"/>
    <hyperlink r:id="rId211" ref="I212"/>
    <hyperlink r:id="rId212" ref="I213"/>
    <hyperlink r:id="rId213" ref="I214"/>
    <hyperlink r:id="rId214" ref="I215"/>
    <hyperlink r:id="rId215" ref="I216"/>
    <hyperlink r:id="rId216" ref="I217"/>
    <hyperlink r:id="rId217" ref="I218"/>
    <hyperlink r:id="rId218" ref="I219"/>
    <hyperlink r:id="rId219" ref="I220"/>
    <hyperlink r:id="rId220" ref="I221"/>
    <hyperlink r:id="rId221" ref="I222"/>
    <hyperlink r:id="rId222" ref="I223"/>
    <hyperlink r:id="rId223" ref="I224"/>
    <hyperlink r:id="rId224" ref="I225"/>
    <hyperlink r:id="rId225" ref="I226"/>
    <hyperlink r:id="rId226" ref="I227"/>
    <hyperlink r:id="rId227" ref="I228"/>
    <hyperlink r:id="rId228" ref="I229"/>
    <hyperlink r:id="rId229" ref="I230"/>
    <hyperlink r:id="rId230" ref="I231"/>
    <hyperlink r:id="rId231" ref="I232"/>
    <hyperlink r:id="rId232" ref="I233"/>
    <hyperlink r:id="rId233" ref="I234"/>
    <hyperlink r:id="rId234" ref="I235"/>
    <hyperlink r:id="rId235" ref="I236"/>
    <hyperlink r:id="rId236" ref="I237"/>
    <hyperlink r:id="rId237" ref="I238"/>
    <hyperlink r:id="rId238" ref="I239"/>
    <hyperlink r:id="rId239" ref="I240"/>
    <hyperlink r:id="rId240" ref="I241"/>
    <hyperlink r:id="rId241" ref="I242"/>
    <hyperlink r:id="rId242" ref="I243"/>
    <hyperlink r:id="rId243" ref="I244"/>
    <hyperlink r:id="rId244" ref="I245"/>
    <hyperlink r:id="rId245" ref="I246"/>
    <hyperlink r:id="rId246" ref="I247"/>
    <hyperlink r:id="rId247" ref="I248"/>
    <hyperlink r:id="rId248" ref="I249"/>
    <hyperlink r:id="rId249" ref="I250"/>
    <hyperlink r:id="rId250" ref="I251"/>
    <hyperlink r:id="rId251" ref="I252"/>
    <hyperlink r:id="rId252" ref="I253"/>
    <hyperlink r:id="rId253" ref="I254"/>
    <hyperlink r:id="rId254" ref="I255"/>
    <hyperlink r:id="rId255" ref="I256"/>
    <hyperlink r:id="rId256" ref="I257"/>
    <hyperlink r:id="rId257" ref="I258"/>
    <hyperlink r:id="rId258" ref="I259"/>
    <hyperlink r:id="rId259" ref="I260"/>
    <hyperlink r:id="rId260" ref="I261"/>
    <hyperlink r:id="rId261" ref="I262"/>
    <hyperlink r:id="rId262" ref="I263"/>
    <hyperlink r:id="rId263" ref="I264"/>
    <hyperlink r:id="rId264" ref="I265"/>
    <hyperlink r:id="rId265" ref="I266"/>
    <hyperlink r:id="rId266" ref="I267"/>
    <hyperlink r:id="rId267" ref="I268"/>
    <hyperlink r:id="rId268" ref="I269"/>
    <hyperlink r:id="rId269" ref="I270"/>
    <hyperlink r:id="rId270" ref="I271"/>
    <hyperlink r:id="rId271" ref="I272"/>
    <hyperlink r:id="rId272" ref="I273"/>
    <hyperlink r:id="rId273" ref="I274"/>
    <hyperlink r:id="rId274" ref="I275"/>
    <hyperlink r:id="rId275" ref="I276"/>
    <hyperlink r:id="rId276" ref="I277"/>
    <hyperlink r:id="rId277" ref="I278"/>
    <hyperlink r:id="rId278" ref="I279"/>
    <hyperlink r:id="rId279" ref="I280"/>
    <hyperlink r:id="rId280" ref="I281"/>
    <hyperlink r:id="rId281" ref="I282"/>
    <hyperlink r:id="rId282" ref="I283"/>
    <hyperlink r:id="rId283" ref="I284"/>
    <hyperlink r:id="rId284" ref="I285"/>
    <hyperlink r:id="rId285" ref="I286"/>
    <hyperlink r:id="rId286" ref="I287"/>
    <hyperlink r:id="rId287" ref="I288"/>
    <hyperlink r:id="rId288" ref="I289"/>
    <hyperlink r:id="rId289" ref="I290"/>
    <hyperlink r:id="rId290" ref="I291"/>
    <hyperlink r:id="rId291" ref="I292"/>
    <hyperlink r:id="rId292" ref="I293"/>
    <hyperlink r:id="rId293" ref="I294"/>
    <hyperlink r:id="rId294" ref="I295"/>
    <hyperlink r:id="rId295" ref="I296"/>
    <hyperlink r:id="rId296" ref="I297"/>
    <hyperlink r:id="rId297" ref="I298"/>
    <hyperlink r:id="rId298" ref="I299"/>
    <hyperlink r:id="rId299" ref="I300"/>
    <hyperlink r:id="rId300" ref="I301"/>
    <hyperlink r:id="rId301" ref="I302"/>
    <hyperlink r:id="rId302" ref="I303"/>
    <hyperlink r:id="rId303" ref="I304"/>
    <hyperlink r:id="rId304" ref="I305"/>
    <hyperlink r:id="rId305" ref="I306"/>
    <hyperlink r:id="rId306" ref="I307"/>
    <hyperlink r:id="rId307" ref="I308"/>
    <hyperlink r:id="rId308" ref="I309"/>
    <hyperlink r:id="rId309" ref="I310"/>
    <hyperlink r:id="rId310" ref="I311"/>
    <hyperlink r:id="rId311" ref="I312"/>
    <hyperlink r:id="rId312" ref="I313"/>
    <hyperlink r:id="rId313" ref="I314"/>
    <hyperlink r:id="rId314" ref="I315"/>
    <hyperlink r:id="rId315" ref="I316"/>
    <hyperlink r:id="rId316" ref="I317"/>
    <hyperlink r:id="rId317" ref="I318"/>
    <hyperlink r:id="rId318" ref="I319"/>
    <hyperlink r:id="rId319" ref="I320"/>
    <hyperlink r:id="rId320" ref="I321"/>
    <hyperlink r:id="rId321" ref="I322"/>
    <hyperlink r:id="rId322" ref="I323"/>
    <hyperlink r:id="rId323" ref="I324"/>
    <hyperlink r:id="rId324" ref="I325"/>
    <hyperlink r:id="rId325" ref="I326"/>
    <hyperlink r:id="rId326" ref="I327"/>
    <hyperlink r:id="rId327" ref="I328"/>
    <hyperlink r:id="rId328" ref="I329"/>
    <hyperlink r:id="rId329" ref="I330"/>
    <hyperlink r:id="rId330" ref="I331"/>
    <hyperlink r:id="rId331" ref="I332"/>
    <hyperlink r:id="rId332" ref="I333"/>
    <hyperlink r:id="rId333" ref="I334"/>
    <hyperlink r:id="rId334" ref="I335"/>
    <hyperlink r:id="rId335" ref="I336"/>
    <hyperlink r:id="rId336" ref="I337"/>
    <hyperlink r:id="rId337" ref="I338"/>
    <hyperlink r:id="rId338" ref="I339"/>
    <hyperlink r:id="rId339" ref="I340"/>
    <hyperlink r:id="rId340" ref="I341"/>
    <hyperlink r:id="rId341" ref="I342"/>
    <hyperlink r:id="rId342" ref="I343"/>
    <hyperlink r:id="rId343" ref="I344"/>
    <hyperlink r:id="rId344" ref="I345"/>
    <hyperlink r:id="rId345" ref="I346"/>
    <hyperlink r:id="rId346" ref="I347"/>
    <hyperlink r:id="rId347" ref="I348"/>
    <hyperlink r:id="rId348" ref="I349"/>
    <hyperlink r:id="rId349" ref="I350"/>
    <hyperlink r:id="rId350" ref="I351"/>
    <hyperlink r:id="rId351" ref="I352"/>
    <hyperlink r:id="rId352" ref="I353"/>
    <hyperlink r:id="rId353" ref="I354"/>
    <hyperlink r:id="rId354" ref="I355"/>
    <hyperlink r:id="rId355" ref="I356"/>
    <hyperlink r:id="rId356" ref="I357"/>
    <hyperlink r:id="rId357" ref="I358"/>
    <hyperlink r:id="rId358" ref="I359"/>
    <hyperlink r:id="rId359" ref="I360"/>
    <hyperlink r:id="rId360" ref="I361"/>
    <hyperlink r:id="rId361" ref="I362"/>
    <hyperlink r:id="rId362" ref="I363"/>
    <hyperlink r:id="rId363" ref="I364"/>
    <hyperlink r:id="rId364" ref="I365"/>
    <hyperlink r:id="rId365" ref="I366"/>
    <hyperlink r:id="rId366" ref="I367"/>
    <hyperlink r:id="rId367" ref="I368"/>
    <hyperlink r:id="rId368" ref="I369"/>
    <hyperlink r:id="rId369" ref="I370"/>
    <hyperlink r:id="rId370" ref="I371"/>
    <hyperlink r:id="rId371" ref="I372"/>
    <hyperlink r:id="rId372" ref="I373"/>
    <hyperlink r:id="rId373" ref="I374"/>
    <hyperlink r:id="rId374" ref="I375"/>
    <hyperlink r:id="rId375" ref="I376"/>
    <hyperlink r:id="rId376" ref="I377"/>
    <hyperlink r:id="rId377" ref="I378"/>
    <hyperlink r:id="rId378" ref="I379"/>
    <hyperlink r:id="rId379" ref="I380"/>
    <hyperlink r:id="rId380" ref="I381"/>
    <hyperlink r:id="rId381" ref="I382"/>
    <hyperlink r:id="rId382" ref="I383"/>
    <hyperlink r:id="rId383" ref="I384"/>
    <hyperlink r:id="rId384" ref="I385"/>
    <hyperlink r:id="rId385" ref="I386"/>
    <hyperlink r:id="rId386" ref="I387"/>
    <hyperlink r:id="rId387" ref="I388"/>
    <hyperlink r:id="rId388" ref="I389"/>
    <hyperlink r:id="rId389" ref="I390"/>
    <hyperlink r:id="rId390" ref="I391"/>
    <hyperlink r:id="rId391" ref="I392"/>
    <hyperlink r:id="rId392" ref="I393"/>
    <hyperlink r:id="rId393" ref="I394"/>
    <hyperlink r:id="rId394" ref="I395"/>
    <hyperlink r:id="rId395" ref="I396"/>
    <hyperlink r:id="rId396" ref="I397"/>
    <hyperlink r:id="rId397" ref="I398"/>
    <hyperlink r:id="rId398" ref="I399"/>
    <hyperlink r:id="rId399" ref="I400"/>
    <hyperlink r:id="rId400" ref="I401"/>
    <hyperlink r:id="rId401" ref="I402"/>
    <hyperlink r:id="rId402" ref="I403"/>
    <hyperlink r:id="rId403" ref="I404"/>
    <hyperlink r:id="rId404" ref="I405"/>
    <hyperlink r:id="rId405" ref="I406"/>
    <hyperlink r:id="rId406" ref="I407"/>
    <hyperlink r:id="rId407" ref="I408"/>
    <hyperlink r:id="rId408" ref="I409"/>
    <hyperlink r:id="rId409" ref="I410"/>
    <hyperlink r:id="rId410" ref="I411"/>
    <hyperlink r:id="rId411" ref="I412"/>
    <hyperlink r:id="rId412" ref="I413"/>
    <hyperlink r:id="rId413" ref="I414"/>
    <hyperlink r:id="rId414" ref="I415"/>
    <hyperlink r:id="rId415" ref="I416"/>
    <hyperlink r:id="rId416" ref="I417"/>
    <hyperlink r:id="rId417" ref="I418"/>
    <hyperlink r:id="rId418" ref="I419"/>
    <hyperlink r:id="rId419" ref="I420"/>
    <hyperlink r:id="rId420" ref="I421"/>
    <hyperlink r:id="rId421" ref="I422"/>
    <hyperlink r:id="rId422" ref="I423"/>
    <hyperlink r:id="rId423" ref="I424"/>
    <hyperlink r:id="rId424" ref="I425"/>
    <hyperlink r:id="rId425" ref="I426"/>
    <hyperlink r:id="rId426" ref="I427"/>
    <hyperlink r:id="rId427" ref="I428"/>
    <hyperlink r:id="rId428" ref="I429"/>
    <hyperlink r:id="rId429" ref="I430"/>
    <hyperlink r:id="rId430" ref="I431"/>
    <hyperlink r:id="rId431" ref="I432"/>
    <hyperlink r:id="rId432" ref="I433"/>
    <hyperlink r:id="rId433" ref="I434"/>
    <hyperlink r:id="rId434" ref="I435"/>
    <hyperlink r:id="rId435" ref="I436"/>
    <hyperlink r:id="rId436" ref="I437"/>
    <hyperlink r:id="rId437" ref="I438"/>
    <hyperlink r:id="rId438" ref="I439"/>
    <hyperlink r:id="rId439" ref="I440"/>
    <hyperlink r:id="rId440" ref="I441"/>
    <hyperlink r:id="rId441" ref="I442"/>
    <hyperlink r:id="rId442" ref="I443"/>
    <hyperlink r:id="rId443" ref="I444"/>
    <hyperlink r:id="rId444" ref="I445"/>
    <hyperlink r:id="rId445" ref="I446"/>
    <hyperlink r:id="rId446" ref="I447"/>
    <hyperlink r:id="rId447" ref="I448"/>
    <hyperlink r:id="rId448" ref="I449"/>
    <hyperlink r:id="rId449" ref="I450"/>
    <hyperlink r:id="rId450" ref="I451"/>
    <hyperlink r:id="rId451" ref="I452"/>
    <hyperlink r:id="rId452" ref="I453"/>
    <hyperlink r:id="rId453" ref="I454"/>
    <hyperlink r:id="rId454" ref="I455"/>
    <hyperlink r:id="rId455" ref="I456"/>
    <hyperlink r:id="rId456" ref="I457"/>
    <hyperlink r:id="rId457" ref="I458"/>
    <hyperlink r:id="rId458" ref="I459"/>
    <hyperlink r:id="rId459" ref="I460"/>
    <hyperlink r:id="rId460" ref="I461"/>
    <hyperlink r:id="rId461" ref="I462"/>
    <hyperlink r:id="rId462" ref="I463"/>
    <hyperlink r:id="rId463" ref="I464"/>
    <hyperlink r:id="rId464" ref="I465"/>
    <hyperlink r:id="rId465" ref="I466"/>
    <hyperlink r:id="rId466" ref="I467"/>
    <hyperlink r:id="rId467" ref="I468"/>
    <hyperlink r:id="rId468" ref="I469"/>
    <hyperlink r:id="rId469" ref="I470"/>
    <hyperlink r:id="rId470" ref="I471"/>
    <hyperlink r:id="rId471" ref="I472"/>
    <hyperlink r:id="rId472" ref="I473"/>
    <hyperlink r:id="rId473" ref="I474"/>
    <hyperlink r:id="rId474" ref="I475"/>
    <hyperlink r:id="rId475" ref="I476"/>
    <hyperlink r:id="rId476" ref="I477"/>
    <hyperlink r:id="rId477" ref="I478"/>
    <hyperlink r:id="rId478" ref="I479"/>
    <hyperlink r:id="rId479" ref="I480"/>
    <hyperlink r:id="rId480" ref="I481"/>
    <hyperlink r:id="rId481" ref="I482"/>
    <hyperlink r:id="rId482" ref="I483"/>
    <hyperlink r:id="rId483" ref="I484"/>
    <hyperlink r:id="rId484" ref="I485"/>
    <hyperlink r:id="rId485" ref="I486"/>
    <hyperlink r:id="rId486" ref="I487"/>
    <hyperlink r:id="rId487" ref="I488"/>
    <hyperlink r:id="rId488" ref="I489"/>
    <hyperlink r:id="rId489" ref="I490"/>
    <hyperlink r:id="rId490" ref="I491"/>
    <hyperlink r:id="rId491" ref="I492"/>
    <hyperlink r:id="rId492" ref="I493"/>
    <hyperlink r:id="rId493" ref="I494"/>
    <hyperlink r:id="rId494" ref="I495"/>
    <hyperlink r:id="rId495" ref="I496"/>
    <hyperlink r:id="rId496" ref="I497"/>
    <hyperlink r:id="rId497" ref="I498"/>
    <hyperlink r:id="rId498" ref="I499"/>
    <hyperlink r:id="rId499" ref="I500"/>
    <hyperlink r:id="rId500" ref="I501"/>
    <hyperlink r:id="rId501" ref="I502"/>
    <hyperlink r:id="rId502" ref="I503"/>
    <hyperlink r:id="rId503" ref="I504"/>
    <hyperlink r:id="rId504" ref="I505"/>
    <hyperlink r:id="rId505" ref="I506"/>
    <hyperlink r:id="rId506" ref="I507"/>
    <hyperlink r:id="rId507" ref="I508"/>
    <hyperlink r:id="rId508" ref="I509"/>
    <hyperlink r:id="rId509" ref="I510"/>
    <hyperlink r:id="rId510" ref="I511"/>
    <hyperlink r:id="rId511" ref="I512"/>
    <hyperlink r:id="rId512" ref="I513"/>
    <hyperlink r:id="rId513" ref="I514"/>
    <hyperlink r:id="rId514" ref="I515"/>
    <hyperlink r:id="rId515" ref="I516"/>
    <hyperlink r:id="rId516" ref="I517"/>
    <hyperlink r:id="rId517" ref="I518"/>
    <hyperlink r:id="rId518" ref="I519"/>
    <hyperlink r:id="rId519" ref="I520"/>
    <hyperlink r:id="rId520" ref="I521"/>
    <hyperlink r:id="rId521" ref="I522"/>
    <hyperlink r:id="rId522" ref="I523"/>
    <hyperlink r:id="rId523" ref="I524"/>
    <hyperlink r:id="rId524" ref="I525"/>
    <hyperlink r:id="rId525" ref="I526"/>
    <hyperlink r:id="rId526" ref="I527"/>
    <hyperlink r:id="rId527" ref="I528"/>
    <hyperlink r:id="rId528" ref="I529"/>
    <hyperlink r:id="rId529" ref="I530"/>
    <hyperlink r:id="rId530" ref="I531"/>
    <hyperlink r:id="rId531" ref="I532"/>
    <hyperlink r:id="rId532" ref="I533"/>
    <hyperlink r:id="rId533" ref="I534"/>
    <hyperlink r:id="rId534" ref="I535"/>
    <hyperlink r:id="rId535" ref="I536"/>
    <hyperlink r:id="rId536" ref="I537"/>
    <hyperlink r:id="rId537" ref="I538"/>
    <hyperlink r:id="rId538" ref="I539"/>
    <hyperlink r:id="rId539" ref="I540"/>
    <hyperlink r:id="rId540" ref="I541"/>
    <hyperlink r:id="rId541" ref="I542"/>
    <hyperlink r:id="rId542" ref="I543"/>
    <hyperlink r:id="rId543" ref="I544"/>
    <hyperlink r:id="rId544" ref="I545"/>
    <hyperlink r:id="rId545" ref="I546"/>
    <hyperlink r:id="rId546" ref="I547"/>
    <hyperlink r:id="rId547" ref="I548"/>
    <hyperlink r:id="rId548" ref="I549"/>
    <hyperlink r:id="rId549" ref="I550"/>
    <hyperlink r:id="rId550" ref="I551"/>
    <hyperlink r:id="rId551" ref="I552"/>
    <hyperlink r:id="rId552" ref="I553"/>
    <hyperlink r:id="rId553" ref="I554"/>
    <hyperlink r:id="rId554" ref="I555"/>
    <hyperlink r:id="rId555" ref="I556"/>
    <hyperlink r:id="rId556" ref="I557"/>
    <hyperlink r:id="rId557" ref="I558"/>
    <hyperlink r:id="rId558" ref="I559"/>
    <hyperlink r:id="rId559" ref="I560"/>
    <hyperlink r:id="rId560" ref="I561"/>
    <hyperlink r:id="rId561" ref="I562"/>
    <hyperlink r:id="rId562" ref="I563"/>
    <hyperlink r:id="rId563" ref="I564"/>
    <hyperlink r:id="rId564" ref="I565"/>
    <hyperlink r:id="rId565" ref="I566"/>
    <hyperlink r:id="rId566" ref="I567"/>
    <hyperlink r:id="rId567" ref="I568"/>
    <hyperlink r:id="rId568" ref="I569"/>
    <hyperlink r:id="rId569" ref="I570"/>
    <hyperlink r:id="rId570" ref="I571"/>
    <hyperlink r:id="rId571" ref="I572"/>
    <hyperlink r:id="rId572" ref="I573"/>
    <hyperlink r:id="rId573" ref="I574"/>
    <hyperlink r:id="rId574" ref="I575"/>
    <hyperlink r:id="rId575" ref="I576"/>
    <hyperlink r:id="rId576" ref="I577"/>
    <hyperlink r:id="rId577" ref="I578"/>
    <hyperlink r:id="rId578" ref="I579"/>
    <hyperlink r:id="rId579" ref="I580"/>
    <hyperlink r:id="rId580" ref="I581"/>
    <hyperlink r:id="rId581" ref="I582"/>
    <hyperlink r:id="rId582" ref="I583"/>
    <hyperlink r:id="rId583" ref="I584"/>
    <hyperlink r:id="rId584" ref="I585"/>
    <hyperlink r:id="rId585" ref="I586"/>
    <hyperlink r:id="rId586" ref="I587"/>
    <hyperlink r:id="rId587" ref="I588"/>
    <hyperlink r:id="rId588" ref="I589"/>
    <hyperlink r:id="rId589" ref="I590"/>
    <hyperlink r:id="rId590" ref="I591"/>
    <hyperlink r:id="rId591" ref="I592"/>
    <hyperlink r:id="rId592" ref="I593"/>
    <hyperlink r:id="rId593" ref="I594"/>
    <hyperlink r:id="rId594" ref="I595"/>
    <hyperlink r:id="rId595" ref="I596"/>
    <hyperlink r:id="rId596" ref="I597"/>
    <hyperlink r:id="rId597" ref="I598"/>
    <hyperlink r:id="rId598" ref="I599"/>
    <hyperlink r:id="rId599" ref="I600"/>
    <hyperlink r:id="rId600" ref="I601"/>
    <hyperlink r:id="rId601" ref="I602"/>
    <hyperlink r:id="rId602" ref="I603"/>
    <hyperlink r:id="rId603" ref="I604"/>
    <hyperlink r:id="rId604" ref="I605"/>
    <hyperlink r:id="rId605" ref="I606"/>
    <hyperlink r:id="rId606" ref="I607"/>
    <hyperlink r:id="rId607" ref="I608"/>
    <hyperlink r:id="rId608" ref="I609"/>
    <hyperlink r:id="rId609" ref="I610"/>
    <hyperlink r:id="rId610" ref="I611"/>
    <hyperlink r:id="rId611" ref="I612"/>
    <hyperlink r:id="rId612" ref="I613"/>
    <hyperlink r:id="rId613" ref="I614"/>
    <hyperlink r:id="rId614" ref="I615"/>
    <hyperlink r:id="rId615" ref="I616"/>
    <hyperlink r:id="rId616" ref="I617"/>
    <hyperlink r:id="rId617" ref="I618"/>
    <hyperlink r:id="rId618" ref="I619"/>
    <hyperlink r:id="rId619" ref="I620"/>
    <hyperlink r:id="rId620" ref="I621"/>
    <hyperlink r:id="rId621" ref="I622"/>
    <hyperlink r:id="rId622" ref="I623"/>
    <hyperlink r:id="rId623" ref="I624"/>
    <hyperlink r:id="rId624" ref="I625"/>
    <hyperlink r:id="rId625" ref="I626"/>
    <hyperlink r:id="rId626" ref="I627"/>
    <hyperlink r:id="rId627" ref="I628"/>
    <hyperlink r:id="rId628" ref="I629"/>
    <hyperlink r:id="rId629" ref="I630"/>
    <hyperlink r:id="rId630" ref="I631"/>
    <hyperlink r:id="rId631" ref="I632"/>
    <hyperlink r:id="rId632" ref="I633"/>
    <hyperlink r:id="rId633" ref="I634"/>
    <hyperlink r:id="rId634" ref="I635"/>
    <hyperlink r:id="rId635" ref="I636"/>
    <hyperlink r:id="rId636" ref="I637"/>
    <hyperlink r:id="rId637" ref="I638"/>
    <hyperlink r:id="rId638" ref="I639"/>
    <hyperlink r:id="rId639" ref="I640"/>
    <hyperlink r:id="rId640" ref="I641"/>
    <hyperlink r:id="rId641" ref="I642"/>
    <hyperlink r:id="rId642" ref="I643"/>
    <hyperlink r:id="rId643" ref="I644"/>
    <hyperlink r:id="rId644" ref="I645"/>
    <hyperlink r:id="rId645" ref="I646"/>
    <hyperlink r:id="rId646" ref="I647"/>
    <hyperlink r:id="rId647" ref="I648"/>
    <hyperlink r:id="rId648" ref="I649"/>
    <hyperlink r:id="rId649" ref="I650"/>
    <hyperlink r:id="rId650" ref="I651"/>
    <hyperlink r:id="rId651" ref="I652"/>
    <hyperlink r:id="rId652" ref="I653"/>
    <hyperlink r:id="rId653" ref="I654"/>
    <hyperlink r:id="rId654" ref="I655"/>
    <hyperlink r:id="rId655" ref="I656"/>
    <hyperlink r:id="rId656" ref="I657"/>
    <hyperlink r:id="rId657" ref="I658"/>
    <hyperlink r:id="rId658" ref="I659"/>
    <hyperlink r:id="rId659" ref="I660"/>
    <hyperlink r:id="rId660" ref="I661"/>
    <hyperlink r:id="rId661" ref="I662"/>
    <hyperlink r:id="rId662" ref="I663"/>
    <hyperlink r:id="rId663" ref="I664"/>
    <hyperlink r:id="rId664" ref="I665"/>
    <hyperlink r:id="rId665" ref="I666"/>
    <hyperlink r:id="rId666" ref="I667"/>
    <hyperlink r:id="rId667" ref="I668"/>
    <hyperlink r:id="rId668" ref="I669"/>
    <hyperlink r:id="rId669" ref="I670"/>
    <hyperlink r:id="rId670" ref="I671"/>
    <hyperlink r:id="rId671" ref="I672"/>
    <hyperlink r:id="rId672" ref="I673"/>
    <hyperlink r:id="rId673" ref="I674"/>
    <hyperlink r:id="rId674" ref="I675"/>
    <hyperlink r:id="rId675" ref="I676"/>
    <hyperlink r:id="rId676" ref="I677"/>
    <hyperlink r:id="rId677" ref="I678"/>
    <hyperlink r:id="rId678" ref="I679"/>
    <hyperlink r:id="rId679" ref="I680"/>
    <hyperlink r:id="rId680" ref="I681"/>
    <hyperlink r:id="rId681" ref="I682"/>
    <hyperlink r:id="rId682" ref="I683"/>
    <hyperlink r:id="rId683" ref="I684"/>
    <hyperlink r:id="rId684" ref="I685"/>
    <hyperlink r:id="rId685" ref="I686"/>
    <hyperlink r:id="rId686" ref="I687"/>
    <hyperlink r:id="rId687" ref="I688"/>
    <hyperlink r:id="rId688" ref="I689"/>
    <hyperlink r:id="rId689" ref="I690"/>
    <hyperlink r:id="rId690" ref="I691"/>
    <hyperlink r:id="rId691" ref="I692"/>
    <hyperlink r:id="rId692" ref="I693"/>
    <hyperlink r:id="rId693" ref="I694"/>
    <hyperlink r:id="rId694" ref="I695"/>
    <hyperlink r:id="rId695" ref="I696"/>
    <hyperlink r:id="rId696" ref="I697"/>
    <hyperlink r:id="rId697" ref="I698"/>
    <hyperlink r:id="rId698" ref="I699"/>
    <hyperlink r:id="rId699" ref="I700"/>
    <hyperlink r:id="rId700" ref="I701"/>
    <hyperlink r:id="rId701" ref="I702"/>
    <hyperlink r:id="rId702" ref="I703"/>
    <hyperlink r:id="rId703" ref="I704"/>
    <hyperlink r:id="rId704" ref="I705"/>
    <hyperlink r:id="rId705" ref="I706"/>
    <hyperlink r:id="rId706" ref="I707"/>
    <hyperlink r:id="rId707" ref="I708"/>
    <hyperlink r:id="rId708" ref="I709"/>
    <hyperlink r:id="rId709" ref="I710"/>
    <hyperlink r:id="rId710" ref="I711"/>
    <hyperlink r:id="rId711" ref="I712"/>
    <hyperlink r:id="rId712" ref="I713"/>
    <hyperlink r:id="rId713" ref="I714"/>
    <hyperlink r:id="rId714" ref="I715"/>
    <hyperlink r:id="rId715" ref="I716"/>
    <hyperlink r:id="rId716" ref="I717"/>
    <hyperlink r:id="rId717" ref="I718"/>
    <hyperlink r:id="rId718" ref="I719"/>
    <hyperlink r:id="rId719" ref="I720"/>
    <hyperlink r:id="rId720" ref="I721"/>
    <hyperlink r:id="rId721" ref="I722"/>
    <hyperlink r:id="rId722" ref="I723"/>
    <hyperlink r:id="rId723" ref="I724"/>
    <hyperlink r:id="rId724" ref="I725"/>
    <hyperlink r:id="rId725" ref="I726"/>
    <hyperlink r:id="rId726" location="open-roles" ref="I727"/>
    <hyperlink r:id="rId727" ref="I728"/>
    <hyperlink r:id="rId728" ref="I729"/>
    <hyperlink r:id="rId729" ref="I730"/>
    <hyperlink r:id="rId730" ref="I731"/>
    <hyperlink r:id="rId731" ref="I732"/>
    <hyperlink r:id="rId732" ref="I733"/>
    <hyperlink r:id="rId733" ref="I734"/>
    <hyperlink r:id="rId734" ref="I735"/>
    <hyperlink r:id="rId735" ref="I736"/>
    <hyperlink r:id="rId736" ref="I737"/>
    <hyperlink r:id="rId737" ref="I738"/>
    <hyperlink r:id="rId738" ref="I739"/>
    <hyperlink r:id="rId739" ref="I740"/>
    <hyperlink r:id="rId740" ref="I741"/>
    <hyperlink r:id="rId741" ref="I742"/>
    <hyperlink r:id="rId742" ref="I743"/>
    <hyperlink r:id="rId743" ref="I744"/>
    <hyperlink r:id="rId744" ref="I745"/>
    <hyperlink r:id="rId745" ref="I746"/>
    <hyperlink r:id="rId746" ref="I747"/>
    <hyperlink r:id="rId747" ref="I748"/>
    <hyperlink r:id="rId748" ref="I749"/>
    <hyperlink r:id="rId749" ref="I750"/>
    <hyperlink r:id="rId750" ref="I751"/>
    <hyperlink r:id="rId751" ref="I752"/>
    <hyperlink r:id="rId752" ref="I753"/>
    <hyperlink r:id="rId753" ref="I754"/>
    <hyperlink r:id="rId754" ref="I755"/>
    <hyperlink r:id="rId755" ref="I756"/>
    <hyperlink r:id="rId756" ref="I757"/>
    <hyperlink r:id="rId757" ref="I758"/>
    <hyperlink r:id="rId758" ref="I759"/>
    <hyperlink r:id="rId759" ref="I760"/>
    <hyperlink r:id="rId760" ref="I761"/>
    <hyperlink r:id="rId761" ref="I762"/>
    <hyperlink r:id="rId762" ref="I763"/>
    <hyperlink r:id="rId763" ref="I764"/>
    <hyperlink r:id="rId764" ref="I765"/>
    <hyperlink r:id="rId765" ref="I766"/>
    <hyperlink r:id="rId766" ref="I767"/>
    <hyperlink r:id="rId767" ref="I768"/>
    <hyperlink r:id="rId768" ref="I769"/>
    <hyperlink r:id="rId769" ref="I770"/>
    <hyperlink r:id="rId770" ref="I771"/>
    <hyperlink r:id="rId771" ref="I772"/>
    <hyperlink r:id="rId772" ref="I773"/>
    <hyperlink r:id="rId773" ref="I774"/>
    <hyperlink r:id="rId774" ref="I775"/>
    <hyperlink r:id="rId775" ref="I776"/>
    <hyperlink r:id="rId776" ref="I777"/>
    <hyperlink r:id="rId777" ref="I778"/>
    <hyperlink r:id="rId778" ref="I779"/>
    <hyperlink r:id="rId779" ref="I780"/>
    <hyperlink r:id="rId780" ref="I781"/>
    <hyperlink r:id="rId781" ref="I782"/>
    <hyperlink r:id="rId782" ref="I783"/>
    <hyperlink r:id="rId783" ref="I784"/>
    <hyperlink r:id="rId784" ref="I785"/>
    <hyperlink r:id="rId785" ref="I786"/>
    <hyperlink r:id="rId786" ref="I787"/>
    <hyperlink r:id="rId787" ref="I788"/>
    <hyperlink r:id="rId788" ref="I789"/>
    <hyperlink r:id="rId789" ref="I790"/>
    <hyperlink r:id="rId790" ref="I791"/>
    <hyperlink r:id="rId791" ref="I792"/>
    <hyperlink r:id="rId792" ref="I793"/>
    <hyperlink r:id="rId793" ref="I794"/>
    <hyperlink r:id="rId794" ref="I795"/>
    <hyperlink r:id="rId795" ref="I796"/>
    <hyperlink r:id="rId796" ref="I797"/>
    <hyperlink r:id="rId797" ref="I798"/>
    <hyperlink r:id="rId798" ref="I799"/>
    <hyperlink r:id="rId799" ref="I800"/>
    <hyperlink r:id="rId800" ref="I801"/>
    <hyperlink r:id="rId801" ref="I802"/>
    <hyperlink r:id="rId802" ref="I803"/>
    <hyperlink r:id="rId803" ref="I804"/>
    <hyperlink r:id="rId804" ref="I805"/>
    <hyperlink r:id="rId805" ref="I806"/>
    <hyperlink r:id="rId806" ref="I807"/>
    <hyperlink r:id="rId807" ref="I808"/>
    <hyperlink r:id="rId808" ref="I809"/>
    <hyperlink r:id="rId809" ref="I810"/>
    <hyperlink r:id="rId810" ref="I811"/>
    <hyperlink r:id="rId811" ref="I812"/>
    <hyperlink r:id="rId812" ref="I813"/>
    <hyperlink r:id="rId813" ref="I814"/>
    <hyperlink r:id="rId814" ref="I815"/>
    <hyperlink r:id="rId815" ref="I816"/>
    <hyperlink r:id="rId816" ref="I817"/>
    <hyperlink r:id="rId817" ref="I818"/>
    <hyperlink r:id="rId818" ref="I819"/>
    <hyperlink r:id="rId819" ref="I820"/>
    <hyperlink r:id="rId820" ref="I821"/>
    <hyperlink r:id="rId821" ref="I822"/>
    <hyperlink r:id="rId822" ref="I823"/>
    <hyperlink r:id="rId823" ref="I824"/>
    <hyperlink r:id="rId824" ref="I825"/>
    <hyperlink r:id="rId825" ref="I826"/>
    <hyperlink r:id="rId826" ref="I827"/>
    <hyperlink r:id="rId827" ref="I828"/>
    <hyperlink r:id="rId828" ref="I829"/>
    <hyperlink r:id="rId829" ref="I830"/>
    <hyperlink r:id="rId830" ref="I831"/>
    <hyperlink r:id="rId831" ref="I832"/>
    <hyperlink r:id="rId832" ref="I833"/>
    <hyperlink r:id="rId833" ref="I834"/>
    <hyperlink r:id="rId834" ref="I835"/>
    <hyperlink r:id="rId835" ref="I836"/>
    <hyperlink r:id="rId836" ref="I837"/>
    <hyperlink r:id="rId837" ref="I838"/>
    <hyperlink r:id="rId838" ref="I839"/>
    <hyperlink r:id="rId839" ref="I840"/>
    <hyperlink r:id="rId840" ref="I841"/>
    <hyperlink r:id="rId841" ref="I842"/>
    <hyperlink r:id="rId842" ref="I843"/>
    <hyperlink r:id="rId843" ref="I844"/>
    <hyperlink r:id="rId844" ref="I845"/>
    <hyperlink r:id="rId845" ref="I846"/>
    <hyperlink r:id="rId846" ref="I847"/>
    <hyperlink r:id="rId847" ref="I848"/>
    <hyperlink r:id="rId848" ref="I849"/>
    <hyperlink r:id="rId849" ref="I850"/>
    <hyperlink r:id="rId850" ref="I851"/>
    <hyperlink r:id="rId851" ref="I852"/>
    <hyperlink r:id="rId852" ref="I853"/>
    <hyperlink r:id="rId853" ref="I854"/>
    <hyperlink r:id="rId854" ref="I855"/>
    <hyperlink r:id="rId855" ref="I856"/>
    <hyperlink r:id="rId856" ref="I857"/>
    <hyperlink r:id="rId857" ref="I858"/>
    <hyperlink r:id="rId858" ref="I859"/>
    <hyperlink r:id="rId859" ref="I860"/>
    <hyperlink r:id="rId860" ref="I861"/>
    <hyperlink r:id="rId861" ref="I862"/>
    <hyperlink r:id="rId862" ref="I863"/>
    <hyperlink r:id="rId863" ref="I864"/>
    <hyperlink r:id="rId864" ref="I865"/>
    <hyperlink r:id="rId865" ref="I866"/>
    <hyperlink r:id="rId866" ref="I867"/>
    <hyperlink r:id="rId867" ref="I868"/>
    <hyperlink r:id="rId868" ref="I869"/>
    <hyperlink r:id="rId869" ref="I870"/>
    <hyperlink r:id="rId870" ref="I871"/>
    <hyperlink r:id="rId871" ref="I872"/>
    <hyperlink r:id="rId872" ref="I873"/>
    <hyperlink r:id="rId873" ref="I874"/>
    <hyperlink r:id="rId874" ref="I875"/>
    <hyperlink r:id="rId875" ref="I876"/>
    <hyperlink r:id="rId876" ref="I877"/>
    <hyperlink r:id="rId877" ref="I878"/>
    <hyperlink r:id="rId878" ref="I879"/>
    <hyperlink r:id="rId879" ref="I880"/>
    <hyperlink r:id="rId880" ref="I881"/>
    <hyperlink r:id="rId881" ref="I882"/>
    <hyperlink r:id="rId882" ref="I883"/>
    <hyperlink r:id="rId883" ref="I884"/>
    <hyperlink r:id="rId884" ref="I885"/>
    <hyperlink r:id="rId885" ref="I886"/>
    <hyperlink r:id="rId886" ref="I887"/>
    <hyperlink r:id="rId887" ref="I888"/>
    <hyperlink r:id="rId888" ref="I889"/>
    <hyperlink r:id="rId889" ref="I890"/>
    <hyperlink r:id="rId890" ref="I891"/>
    <hyperlink r:id="rId891" ref="I892"/>
    <hyperlink r:id="rId892" ref="I893"/>
    <hyperlink r:id="rId893" ref="I894"/>
    <hyperlink r:id="rId894" ref="I895"/>
    <hyperlink r:id="rId895" ref="I896"/>
    <hyperlink r:id="rId896" ref="I897"/>
    <hyperlink r:id="rId897" ref="I898"/>
    <hyperlink r:id="rId898" ref="I899"/>
    <hyperlink r:id="rId899" ref="I900"/>
    <hyperlink r:id="rId900" ref="I901"/>
    <hyperlink r:id="rId901" ref="I902"/>
    <hyperlink r:id="rId902" ref="I903"/>
    <hyperlink r:id="rId903" ref="I904"/>
    <hyperlink r:id="rId904" ref="I905"/>
    <hyperlink r:id="rId905" ref="I906"/>
    <hyperlink r:id="rId906" ref="I907"/>
    <hyperlink r:id="rId907" ref="I908"/>
    <hyperlink r:id="rId908" ref="I909"/>
    <hyperlink r:id="rId909" ref="I910"/>
    <hyperlink r:id="rId910" ref="I911"/>
    <hyperlink r:id="rId911" ref="I912"/>
    <hyperlink r:id="rId912" ref="I913"/>
    <hyperlink r:id="rId913" ref="I914"/>
    <hyperlink r:id="rId914" ref="I915"/>
    <hyperlink r:id="rId915" ref="I916"/>
    <hyperlink r:id="rId916" ref="I917"/>
    <hyperlink r:id="rId917" ref="I918"/>
    <hyperlink r:id="rId918" ref="I919"/>
    <hyperlink r:id="rId919" ref="I920"/>
    <hyperlink r:id="rId920" ref="I921"/>
    <hyperlink r:id="rId921" ref="I922"/>
    <hyperlink r:id="rId922" ref="I923"/>
    <hyperlink r:id="rId923" ref="I924"/>
    <hyperlink r:id="rId924" ref="I925"/>
    <hyperlink r:id="rId925" ref="I926"/>
    <hyperlink r:id="rId926" ref="I927"/>
    <hyperlink r:id="rId927" ref="I928"/>
    <hyperlink r:id="rId928" ref="I929"/>
    <hyperlink r:id="rId929" ref="I930"/>
    <hyperlink r:id="rId930" ref="I931"/>
    <hyperlink r:id="rId931" ref="I932"/>
    <hyperlink r:id="rId932" ref="I933"/>
    <hyperlink r:id="rId933" ref="I934"/>
    <hyperlink r:id="rId934" ref="I935"/>
    <hyperlink r:id="rId935" ref="I936"/>
    <hyperlink r:id="rId936" ref="I937"/>
    <hyperlink r:id="rId937" ref="I938"/>
    <hyperlink r:id="rId938" ref="I939"/>
    <hyperlink r:id="rId939" ref="I940"/>
    <hyperlink r:id="rId940" ref="I941"/>
    <hyperlink r:id="rId941" ref="I942"/>
    <hyperlink r:id="rId942" ref="I943"/>
    <hyperlink r:id="rId943" ref="I944"/>
    <hyperlink r:id="rId944" ref="I945"/>
    <hyperlink r:id="rId945" ref="I946"/>
    <hyperlink r:id="rId946" ref="I947"/>
    <hyperlink r:id="rId947" ref="I948"/>
    <hyperlink r:id="rId948" ref="I949"/>
    <hyperlink r:id="rId949" ref="I950"/>
    <hyperlink r:id="rId950" ref="I951"/>
    <hyperlink r:id="rId951" ref="I952"/>
    <hyperlink r:id="rId952" ref="I953"/>
    <hyperlink r:id="rId953" ref="I954"/>
    <hyperlink r:id="rId954" ref="I955"/>
    <hyperlink r:id="rId955" ref="I956"/>
    <hyperlink r:id="rId956" ref="I957"/>
    <hyperlink r:id="rId957" ref="I958"/>
    <hyperlink r:id="rId958" ref="I959"/>
    <hyperlink r:id="rId959" ref="I960"/>
    <hyperlink r:id="rId960" ref="I961"/>
    <hyperlink r:id="rId961" ref="I962"/>
    <hyperlink r:id="rId962" ref="I963"/>
    <hyperlink r:id="rId963" ref="I964"/>
    <hyperlink r:id="rId964" ref="I965"/>
    <hyperlink r:id="rId965" ref="I966"/>
    <hyperlink r:id="rId966" ref="I967"/>
    <hyperlink r:id="rId967" ref="I968"/>
    <hyperlink r:id="rId968" ref="I969"/>
    <hyperlink r:id="rId969" ref="I970"/>
    <hyperlink r:id="rId970" ref="I971"/>
    <hyperlink r:id="rId971" ref="I972"/>
    <hyperlink r:id="rId972" ref="I973"/>
    <hyperlink r:id="rId973" ref="I974"/>
    <hyperlink r:id="rId974" ref="I975"/>
    <hyperlink r:id="rId975" ref="I976"/>
    <hyperlink r:id="rId976" ref="I977"/>
    <hyperlink r:id="rId977" ref="I978"/>
    <hyperlink r:id="rId978" ref="I979"/>
    <hyperlink r:id="rId979" ref="I980"/>
    <hyperlink r:id="rId980" ref="I981"/>
    <hyperlink r:id="rId981" ref="I982"/>
    <hyperlink r:id="rId982" ref="I983"/>
    <hyperlink r:id="rId983" ref="I984"/>
    <hyperlink r:id="rId984" ref="I985"/>
    <hyperlink r:id="rId985" ref="I986"/>
    <hyperlink r:id="rId986" ref="I987"/>
    <hyperlink r:id="rId987" ref="I988"/>
    <hyperlink r:id="rId988" ref="I989"/>
    <hyperlink r:id="rId989" ref="I990"/>
    <hyperlink r:id="rId990" ref="I991"/>
    <hyperlink r:id="rId991" ref="I992"/>
    <hyperlink r:id="rId992" ref="I993"/>
    <hyperlink r:id="rId993" ref="I994"/>
    <hyperlink r:id="rId994" ref="I995"/>
    <hyperlink r:id="rId995" ref="I996"/>
    <hyperlink r:id="rId996" ref="I997"/>
    <hyperlink r:id="rId997" ref="I998"/>
    <hyperlink r:id="rId998" ref="I999"/>
    <hyperlink r:id="rId999" ref="I1000"/>
    <hyperlink r:id="rId1000" ref="I1001"/>
    <hyperlink r:id="rId1001" ref="I1002"/>
    <hyperlink r:id="rId1002" ref="I1003"/>
    <hyperlink r:id="rId1003" ref="I1004"/>
    <hyperlink r:id="rId1004" ref="I1005"/>
    <hyperlink r:id="rId1005" ref="I1006"/>
    <hyperlink r:id="rId1006" ref="I1007"/>
    <hyperlink r:id="rId1007" ref="I1008"/>
    <hyperlink r:id="rId1008" ref="I1009"/>
    <hyperlink r:id="rId1009" ref="I1010"/>
    <hyperlink r:id="rId1010" ref="I1011"/>
    <hyperlink r:id="rId1011" ref="I1012"/>
    <hyperlink r:id="rId1012" ref="I1013"/>
    <hyperlink r:id="rId1013" ref="I1014"/>
    <hyperlink r:id="rId1014" ref="I1015"/>
    <hyperlink r:id="rId1015" ref="I1016"/>
    <hyperlink r:id="rId1016" ref="I1017"/>
    <hyperlink r:id="rId1017" ref="I1018"/>
    <hyperlink r:id="rId1018" ref="I1019"/>
    <hyperlink r:id="rId1019" ref="I1020"/>
    <hyperlink r:id="rId1020" ref="I1021"/>
    <hyperlink r:id="rId1021" ref="I1022"/>
    <hyperlink r:id="rId1022" ref="I1023"/>
    <hyperlink r:id="rId1023" ref="I1024"/>
    <hyperlink r:id="rId1024" ref="I1025"/>
    <hyperlink r:id="rId1025" ref="I1026"/>
    <hyperlink r:id="rId1026" ref="I1027"/>
    <hyperlink r:id="rId1027" ref="I1028"/>
    <hyperlink r:id="rId1028" ref="I1029"/>
    <hyperlink r:id="rId1029" ref="I1030"/>
    <hyperlink r:id="rId1030" ref="I1031"/>
    <hyperlink r:id="rId1031" ref="I1032"/>
    <hyperlink r:id="rId1032" ref="I1033"/>
    <hyperlink r:id="rId1033" ref="I1034"/>
    <hyperlink r:id="rId1034" ref="I1035"/>
    <hyperlink r:id="rId1035" ref="I1036"/>
    <hyperlink r:id="rId1036" ref="I1037"/>
    <hyperlink r:id="rId1037" ref="I1038"/>
    <hyperlink r:id="rId1038" ref="I1039"/>
    <hyperlink r:id="rId1039" ref="I1040"/>
    <hyperlink r:id="rId1040" ref="I1041"/>
    <hyperlink r:id="rId1041" ref="I1042"/>
    <hyperlink r:id="rId1042" ref="I1043"/>
    <hyperlink r:id="rId1043" ref="I1044"/>
    <hyperlink r:id="rId1044" ref="I1045"/>
    <hyperlink r:id="rId1045" ref="I1046"/>
    <hyperlink r:id="rId1046" ref="I1047"/>
    <hyperlink r:id="rId1047" ref="I1048"/>
    <hyperlink r:id="rId1048" ref="I1049"/>
    <hyperlink r:id="rId1049" ref="I1050"/>
    <hyperlink r:id="rId1050" ref="I1051"/>
    <hyperlink r:id="rId1051" ref="I1052"/>
    <hyperlink r:id="rId1052" ref="I1053"/>
    <hyperlink r:id="rId1053" ref="I1054"/>
    <hyperlink r:id="rId1054" ref="I1055"/>
    <hyperlink r:id="rId1055" ref="I1056"/>
    <hyperlink r:id="rId1056" ref="I1057"/>
    <hyperlink r:id="rId1057" ref="I1058"/>
    <hyperlink r:id="rId1058" ref="I1059"/>
    <hyperlink r:id="rId1059" ref="I1060"/>
    <hyperlink r:id="rId1060" ref="I1061"/>
    <hyperlink r:id="rId1061" ref="I1062"/>
    <hyperlink r:id="rId1062" ref="I1063"/>
    <hyperlink r:id="rId1063" ref="I1064"/>
    <hyperlink r:id="rId1064" ref="I1065"/>
    <hyperlink r:id="rId1065" ref="I1066"/>
    <hyperlink r:id="rId1066" ref="I1067"/>
    <hyperlink r:id="rId1067" ref="I1068"/>
    <hyperlink r:id="rId1068" ref="I1069"/>
    <hyperlink r:id="rId1069" ref="I1070"/>
    <hyperlink r:id="rId1070" ref="I1071"/>
    <hyperlink r:id="rId1071" ref="I1072"/>
    <hyperlink r:id="rId1072" ref="I1073"/>
    <hyperlink r:id="rId1073" ref="I1074"/>
    <hyperlink r:id="rId1074" ref="I1075"/>
    <hyperlink r:id="rId1075" ref="I1076"/>
    <hyperlink r:id="rId1076" ref="I1077"/>
    <hyperlink r:id="rId1077" ref="I1078"/>
    <hyperlink r:id="rId1078" ref="I1079"/>
    <hyperlink r:id="rId1079" ref="I1080"/>
    <hyperlink r:id="rId1080" ref="I1081"/>
    <hyperlink r:id="rId1081" ref="I1082"/>
    <hyperlink r:id="rId1082" ref="I1083"/>
    <hyperlink r:id="rId1083" ref="I1084"/>
    <hyperlink r:id="rId1084" ref="I1085"/>
    <hyperlink r:id="rId1085" ref="I1086"/>
    <hyperlink r:id="rId1086" ref="I1087"/>
    <hyperlink r:id="rId1087" ref="I1088"/>
    <hyperlink r:id="rId1088" ref="I1089"/>
    <hyperlink r:id="rId1089" ref="I1090"/>
    <hyperlink r:id="rId1090" ref="I1091"/>
    <hyperlink r:id="rId1091" ref="I1092"/>
    <hyperlink r:id="rId1092" ref="I1093"/>
    <hyperlink r:id="rId1093" ref="I1094"/>
    <hyperlink r:id="rId1094" ref="I1095"/>
    <hyperlink r:id="rId1095" ref="I1096"/>
    <hyperlink r:id="rId1096" ref="I1097"/>
    <hyperlink r:id="rId1097" ref="I1098"/>
    <hyperlink r:id="rId1098" ref="I1099"/>
    <hyperlink r:id="rId1099" ref="I1100"/>
    <hyperlink r:id="rId1100" ref="I1101"/>
    <hyperlink r:id="rId1101" ref="I1102"/>
    <hyperlink r:id="rId1102" ref="I1103"/>
    <hyperlink r:id="rId1103" ref="I1104"/>
    <hyperlink r:id="rId1104" ref="I1105"/>
    <hyperlink r:id="rId1105" ref="I1106"/>
    <hyperlink r:id="rId1106" ref="I1107"/>
    <hyperlink r:id="rId1107" ref="I1108"/>
    <hyperlink r:id="rId1108" ref="I1109"/>
    <hyperlink r:id="rId1109" ref="I1110"/>
    <hyperlink r:id="rId1110" ref="I1111"/>
    <hyperlink r:id="rId1111" ref="I1112"/>
    <hyperlink r:id="rId1112" ref="I1113"/>
    <hyperlink r:id="rId1113" ref="I1114"/>
    <hyperlink r:id="rId1114" ref="I1115"/>
    <hyperlink r:id="rId1115" ref="I1116"/>
    <hyperlink r:id="rId1116" ref="I1117"/>
    <hyperlink r:id="rId1117" ref="I1118"/>
    <hyperlink r:id="rId1118" ref="I1119"/>
    <hyperlink r:id="rId1119" ref="I1120"/>
    <hyperlink r:id="rId1120" ref="I1121"/>
    <hyperlink r:id="rId1121" ref="I1122"/>
    <hyperlink r:id="rId1122" ref="I1123"/>
    <hyperlink r:id="rId1123" ref="I1124"/>
    <hyperlink r:id="rId1124" ref="I1125"/>
    <hyperlink r:id="rId1125" ref="I1126"/>
    <hyperlink r:id="rId1126" ref="I1127"/>
    <hyperlink r:id="rId1127" ref="I1128"/>
    <hyperlink r:id="rId1128" ref="I1129"/>
    <hyperlink r:id="rId1129" ref="I1130"/>
    <hyperlink r:id="rId1130" ref="I1131"/>
    <hyperlink r:id="rId1131" ref="I1132"/>
    <hyperlink r:id="rId1132" ref="I1133"/>
    <hyperlink r:id="rId1133" ref="I1134"/>
    <hyperlink r:id="rId1134" ref="I1135"/>
    <hyperlink r:id="rId1135" ref="I1136"/>
    <hyperlink r:id="rId1136" ref="I1137"/>
    <hyperlink r:id="rId1137" ref="I1138"/>
    <hyperlink r:id="rId1138" location="open-roles" ref="I1139"/>
    <hyperlink r:id="rId1139" ref="I1140"/>
    <hyperlink r:id="rId1140" ref="I1141"/>
    <hyperlink r:id="rId1141" ref="I1142"/>
    <hyperlink r:id="rId1142" ref="I1143"/>
    <hyperlink r:id="rId1143" ref="I1144"/>
    <hyperlink r:id="rId1144" ref="I1145"/>
    <hyperlink r:id="rId1145" ref="I1146"/>
    <hyperlink r:id="rId1146" ref="I1147"/>
    <hyperlink r:id="rId1147" ref="I1148"/>
    <hyperlink r:id="rId1148" ref="I1149"/>
    <hyperlink r:id="rId1149" ref="I1150"/>
    <hyperlink r:id="rId1150" ref="I1151"/>
    <hyperlink r:id="rId1151" ref="I1152"/>
    <hyperlink r:id="rId1152" ref="I1153"/>
    <hyperlink r:id="rId1153" ref="I1154"/>
    <hyperlink r:id="rId1154" ref="I1155"/>
    <hyperlink r:id="rId1155" ref="I1156"/>
    <hyperlink r:id="rId1156" ref="I1157"/>
    <hyperlink r:id="rId1157" ref="I1158"/>
    <hyperlink r:id="rId1158" ref="I1159"/>
    <hyperlink r:id="rId1159" ref="I1160"/>
    <hyperlink r:id="rId1160" ref="I1161"/>
    <hyperlink r:id="rId1161" ref="I1162"/>
    <hyperlink r:id="rId1162" ref="I1163"/>
    <hyperlink r:id="rId1163" ref="I1164"/>
    <hyperlink r:id="rId1164" ref="I1165"/>
    <hyperlink r:id="rId1165" ref="I1166"/>
    <hyperlink r:id="rId1166" ref="I1167"/>
    <hyperlink r:id="rId1167" ref="I1168"/>
    <hyperlink r:id="rId1168" ref="I1169"/>
    <hyperlink r:id="rId1169" ref="I1170"/>
    <hyperlink r:id="rId1170" ref="I1171"/>
    <hyperlink r:id="rId1171" ref="I1172"/>
    <hyperlink r:id="rId1172" ref="I1173"/>
    <hyperlink r:id="rId1173" ref="I1174"/>
    <hyperlink r:id="rId1174" ref="I1175"/>
    <hyperlink r:id="rId1175" ref="I1176"/>
    <hyperlink r:id="rId1176" ref="I1177"/>
    <hyperlink r:id="rId1177" ref="I1178"/>
    <hyperlink r:id="rId1178" ref="I1179"/>
    <hyperlink r:id="rId1179" ref="I1180"/>
    <hyperlink r:id="rId1180" ref="I1181"/>
    <hyperlink r:id="rId1181" ref="I1182"/>
    <hyperlink r:id="rId1182" ref="I1183"/>
    <hyperlink r:id="rId1183" ref="I1184"/>
    <hyperlink r:id="rId1184" ref="I1185"/>
    <hyperlink r:id="rId1185" ref="I1186"/>
    <hyperlink r:id="rId1186" ref="I1187"/>
    <hyperlink r:id="rId1187" ref="I1188"/>
    <hyperlink r:id="rId1188" ref="I1189"/>
    <hyperlink r:id="rId1189" ref="I1190"/>
    <hyperlink r:id="rId1190" ref="I1191"/>
    <hyperlink r:id="rId1191" ref="I1192"/>
    <hyperlink r:id="rId1192" ref="I1193"/>
    <hyperlink r:id="rId1193" ref="I1194"/>
    <hyperlink r:id="rId1194" ref="I1195"/>
    <hyperlink r:id="rId1195" ref="I1196"/>
    <hyperlink r:id="rId1196" ref="I1197"/>
    <hyperlink r:id="rId1197" ref="I1198"/>
    <hyperlink r:id="rId1198" ref="I1199"/>
    <hyperlink r:id="rId1199" ref="I1200"/>
    <hyperlink r:id="rId1200" ref="I1201"/>
    <hyperlink r:id="rId1201" ref="I1202"/>
    <hyperlink r:id="rId1202" ref="I1203"/>
    <hyperlink r:id="rId1203" ref="I1204"/>
    <hyperlink r:id="rId1204" ref="I1205"/>
    <hyperlink r:id="rId1205" ref="I1206"/>
    <hyperlink r:id="rId1206" ref="I1207"/>
    <hyperlink r:id="rId1207" ref="I1208"/>
    <hyperlink r:id="rId1208" ref="I1209"/>
    <hyperlink r:id="rId1209" ref="I1210"/>
    <hyperlink r:id="rId1210" ref="I1211"/>
    <hyperlink r:id="rId1211" ref="I1212"/>
    <hyperlink r:id="rId1212" ref="I1213"/>
    <hyperlink r:id="rId1213" ref="I1214"/>
    <hyperlink r:id="rId1214" ref="I1215"/>
    <hyperlink r:id="rId1215" ref="I1216"/>
    <hyperlink r:id="rId1216" ref="I1217"/>
    <hyperlink r:id="rId1217" ref="I1218"/>
    <hyperlink r:id="rId1218" ref="I1219"/>
    <hyperlink r:id="rId1219" ref="I1220"/>
    <hyperlink r:id="rId1220" ref="I1221"/>
    <hyperlink r:id="rId1221" ref="I1222"/>
    <hyperlink r:id="rId1222" ref="I1223"/>
    <hyperlink r:id="rId1223" ref="I1224"/>
    <hyperlink r:id="rId1224" ref="I1225"/>
    <hyperlink r:id="rId1225" ref="I1226"/>
    <hyperlink r:id="rId1226" ref="I1227"/>
    <hyperlink r:id="rId1227" ref="I1228"/>
    <hyperlink r:id="rId1228" ref="I1229"/>
    <hyperlink r:id="rId1229" ref="I1230"/>
    <hyperlink r:id="rId1230" ref="I1231"/>
    <hyperlink r:id="rId1231" ref="I1232"/>
    <hyperlink r:id="rId1232" ref="I1233"/>
    <hyperlink r:id="rId1233" ref="I1234"/>
    <hyperlink r:id="rId1234" ref="I1235"/>
    <hyperlink r:id="rId1235" ref="I1236"/>
    <hyperlink r:id="rId1236" ref="I1237"/>
    <hyperlink r:id="rId1237" ref="I1238"/>
    <hyperlink r:id="rId1238" ref="I1239"/>
    <hyperlink r:id="rId1239" ref="I1240"/>
    <hyperlink r:id="rId1240" ref="I1241"/>
    <hyperlink r:id="rId1241" ref="I1242"/>
    <hyperlink r:id="rId1242" ref="I1243"/>
    <hyperlink r:id="rId1243" ref="I1244"/>
    <hyperlink r:id="rId1244" ref="I1245"/>
    <hyperlink r:id="rId1245" ref="I1246"/>
    <hyperlink r:id="rId1246" ref="I1247"/>
    <hyperlink r:id="rId1247" ref="I1248"/>
    <hyperlink r:id="rId1248" ref="I1249"/>
    <hyperlink r:id="rId1249" ref="I1250"/>
    <hyperlink r:id="rId1250" ref="I1251"/>
    <hyperlink r:id="rId1251" ref="I1252"/>
    <hyperlink r:id="rId1252" ref="I1253"/>
    <hyperlink r:id="rId1253" ref="I1254"/>
    <hyperlink r:id="rId1254" ref="I1255"/>
    <hyperlink r:id="rId1255" ref="I1256"/>
    <hyperlink r:id="rId1256" ref="I1257"/>
    <hyperlink r:id="rId1257" ref="I1258"/>
    <hyperlink r:id="rId1258" ref="I1259"/>
    <hyperlink r:id="rId1259" ref="I1260"/>
    <hyperlink r:id="rId1260" ref="I1261"/>
    <hyperlink r:id="rId1261" ref="I1262"/>
    <hyperlink r:id="rId1262" ref="I1263"/>
    <hyperlink r:id="rId1263" ref="I1264"/>
    <hyperlink r:id="rId1264" ref="I1265"/>
    <hyperlink r:id="rId1265" ref="I1266"/>
    <hyperlink r:id="rId1266" ref="I1267"/>
    <hyperlink r:id="rId1267" ref="I1268"/>
    <hyperlink r:id="rId1268" ref="I1269"/>
    <hyperlink r:id="rId1269" ref="I1270"/>
    <hyperlink r:id="rId1270" ref="I1271"/>
    <hyperlink r:id="rId1271" ref="I1272"/>
    <hyperlink r:id="rId1272" ref="I1273"/>
    <hyperlink r:id="rId1273" ref="I1274"/>
    <hyperlink r:id="rId1274" ref="I1275"/>
    <hyperlink r:id="rId1275" ref="I1276"/>
    <hyperlink r:id="rId1276" ref="I1277"/>
    <hyperlink r:id="rId1277" ref="I1278"/>
    <hyperlink r:id="rId1278" ref="I1279"/>
    <hyperlink r:id="rId1279" ref="I1280"/>
    <hyperlink r:id="rId1280" ref="I1281"/>
    <hyperlink r:id="rId1281" ref="I1282"/>
    <hyperlink r:id="rId1282" ref="I1283"/>
    <hyperlink r:id="rId1283" ref="I1284"/>
    <hyperlink r:id="rId1284" ref="I1285"/>
    <hyperlink r:id="rId1285" ref="I1286"/>
    <hyperlink r:id="rId1286" ref="I1287"/>
    <hyperlink r:id="rId1287" ref="I1288"/>
    <hyperlink r:id="rId1288" ref="I1289"/>
    <hyperlink r:id="rId1289" ref="I1290"/>
    <hyperlink r:id="rId1290" ref="I1291"/>
    <hyperlink r:id="rId1291" ref="I1292"/>
    <hyperlink r:id="rId1292" ref="I1293"/>
    <hyperlink r:id="rId1293" ref="I1294"/>
    <hyperlink r:id="rId1294" ref="I1295"/>
    <hyperlink r:id="rId1295" ref="I1296"/>
    <hyperlink r:id="rId1296" ref="I1297"/>
    <hyperlink r:id="rId1297" ref="I1298"/>
    <hyperlink r:id="rId1298" ref="I1299"/>
    <hyperlink r:id="rId1299" ref="I1300"/>
    <hyperlink r:id="rId1300" ref="I1301"/>
    <hyperlink r:id="rId1301" ref="I1302"/>
    <hyperlink r:id="rId1302" ref="I1303"/>
    <hyperlink r:id="rId1303" ref="I1304"/>
    <hyperlink r:id="rId1304" ref="I1305"/>
    <hyperlink r:id="rId1305" ref="I1306"/>
    <hyperlink r:id="rId1306" ref="I1307"/>
    <hyperlink r:id="rId1307" ref="I1308"/>
    <hyperlink r:id="rId1308" ref="I1309"/>
    <hyperlink r:id="rId1309" ref="I1310"/>
    <hyperlink r:id="rId1310" ref="I1311"/>
    <hyperlink r:id="rId1311" ref="I1312"/>
    <hyperlink r:id="rId1312" ref="I1313"/>
    <hyperlink r:id="rId1313" ref="I1314"/>
    <hyperlink r:id="rId1314" ref="I1315"/>
    <hyperlink r:id="rId1315" ref="I1316"/>
    <hyperlink r:id="rId1316" ref="I1317"/>
    <hyperlink r:id="rId1317" ref="I1318"/>
    <hyperlink r:id="rId1318" ref="I1319"/>
    <hyperlink r:id="rId1319" ref="I1320"/>
    <hyperlink r:id="rId1320" ref="I1321"/>
    <hyperlink r:id="rId1321" ref="I1322"/>
    <hyperlink r:id="rId1322" ref="I1323"/>
    <hyperlink r:id="rId1323" ref="I1324"/>
    <hyperlink r:id="rId1324" ref="I1325"/>
    <hyperlink r:id="rId1325" ref="I1326"/>
    <hyperlink r:id="rId1326" ref="I1327"/>
    <hyperlink r:id="rId1327" ref="I1328"/>
    <hyperlink r:id="rId1328" ref="I1329"/>
    <hyperlink r:id="rId1329" ref="I1330"/>
    <hyperlink r:id="rId1330" ref="I1331"/>
    <hyperlink r:id="rId1331" ref="I1332"/>
    <hyperlink r:id="rId1332" ref="I1333"/>
    <hyperlink r:id="rId1333" ref="I1334"/>
    <hyperlink r:id="rId1334" ref="I1335"/>
    <hyperlink r:id="rId1335" ref="I1336"/>
    <hyperlink r:id="rId1336" ref="I1337"/>
    <hyperlink r:id="rId1337" ref="I1338"/>
    <hyperlink r:id="rId1338" ref="I1339"/>
    <hyperlink r:id="rId1339" ref="I1340"/>
    <hyperlink r:id="rId1340" ref="I1341"/>
    <hyperlink r:id="rId1341" ref="I1342"/>
    <hyperlink r:id="rId1342" ref="I1343"/>
    <hyperlink r:id="rId1343" ref="I1344"/>
    <hyperlink r:id="rId1344" ref="I1345"/>
    <hyperlink r:id="rId1345" ref="I1346"/>
    <hyperlink r:id="rId1346" ref="I1347"/>
    <hyperlink r:id="rId1347" ref="I1348"/>
    <hyperlink r:id="rId1348" ref="I1349"/>
    <hyperlink r:id="rId1349" ref="I1350"/>
    <hyperlink r:id="rId1350" ref="I1351"/>
    <hyperlink r:id="rId1351" ref="I1352"/>
    <hyperlink r:id="rId1352" ref="I1353"/>
    <hyperlink r:id="rId1353" ref="I1354"/>
    <hyperlink r:id="rId1354" ref="I1355"/>
    <hyperlink r:id="rId1355" ref="I1356"/>
    <hyperlink r:id="rId1356" ref="I1357"/>
    <hyperlink r:id="rId1357" ref="I1358"/>
    <hyperlink r:id="rId1358" ref="I1359"/>
    <hyperlink r:id="rId1359" ref="I1360"/>
    <hyperlink r:id="rId1360" ref="I1361"/>
    <hyperlink r:id="rId1361" location="job" ref="I1362"/>
    <hyperlink r:id="rId1362" ref="I1363"/>
    <hyperlink r:id="rId1363" ref="I1364"/>
    <hyperlink r:id="rId1364" ref="I1365"/>
    <hyperlink r:id="rId1365" ref="I1366"/>
    <hyperlink r:id="rId1366" ref="I1367"/>
    <hyperlink r:id="rId1367" ref="I1368"/>
    <hyperlink r:id="rId1368" ref="I1369"/>
    <hyperlink r:id="rId1369" ref="I1370"/>
    <hyperlink r:id="rId1370" ref="I1371"/>
    <hyperlink r:id="rId1371" ref="I1372"/>
    <hyperlink r:id="rId1372" ref="I1373"/>
    <hyperlink r:id="rId1373" ref="I1374"/>
    <hyperlink r:id="rId1374" ref="I1375"/>
    <hyperlink r:id="rId1375" ref="I1376"/>
    <hyperlink r:id="rId1376" ref="I1377"/>
    <hyperlink r:id="rId1377" ref="I1378"/>
    <hyperlink r:id="rId1378" ref="I1379"/>
    <hyperlink r:id="rId1379" ref="I1380"/>
    <hyperlink r:id="rId1380" ref="I1381"/>
    <hyperlink r:id="rId1381" ref="I1382"/>
    <hyperlink r:id="rId1382" ref="I1383"/>
    <hyperlink r:id="rId1383" ref="I1384"/>
    <hyperlink r:id="rId1384" ref="I1385"/>
    <hyperlink r:id="rId1385" ref="I1386"/>
    <hyperlink r:id="rId1386" ref="I1387"/>
    <hyperlink r:id="rId1387" ref="I1388"/>
    <hyperlink r:id="rId1388" ref="I1389"/>
    <hyperlink r:id="rId1389" ref="I1390"/>
    <hyperlink r:id="rId1390" ref="I1391"/>
    <hyperlink r:id="rId1391" ref="I1392"/>
    <hyperlink r:id="rId1392" ref="I1393"/>
    <hyperlink r:id="rId1393" ref="I1394"/>
    <hyperlink r:id="rId1394" ref="I1395"/>
    <hyperlink r:id="rId1395" ref="I1396"/>
    <hyperlink r:id="rId1396" ref="I1397"/>
    <hyperlink r:id="rId1397" ref="I1398"/>
    <hyperlink r:id="rId1398" ref="I1399"/>
    <hyperlink r:id="rId1399" ref="I1400"/>
    <hyperlink r:id="rId1400" ref="I1401"/>
    <hyperlink r:id="rId1401" ref="I1402"/>
    <hyperlink r:id="rId1402" ref="I1403"/>
    <hyperlink r:id="rId1403" ref="I1404"/>
    <hyperlink r:id="rId1404" ref="I1405"/>
    <hyperlink r:id="rId1405" ref="I1406"/>
    <hyperlink r:id="rId1406" ref="I1407"/>
    <hyperlink r:id="rId1407" ref="I1408"/>
    <hyperlink r:id="rId1408" ref="I1409"/>
    <hyperlink r:id="rId1409" ref="I1410"/>
    <hyperlink r:id="rId1410" ref="I1411"/>
    <hyperlink r:id="rId1411" ref="I1412"/>
    <hyperlink r:id="rId1412" ref="I1413"/>
    <hyperlink r:id="rId1413" ref="I1414"/>
    <hyperlink r:id="rId1414" ref="I1415"/>
    <hyperlink r:id="rId1415" ref="I1416"/>
    <hyperlink r:id="rId1416" ref="I1417"/>
    <hyperlink r:id="rId1417" ref="I1418"/>
    <hyperlink r:id="rId1418" ref="I1419"/>
    <hyperlink r:id="rId1419" ref="I1420"/>
    <hyperlink r:id="rId1420" ref="I1421"/>
    <hyperlink r:id="rId1421" ref="I1422"/>
    <hyperlink r:id="rId1422" ref="I1423"/>
    <hyperlink r:id="rId1423" ref="I1424"/>
    <hyperlink r:id="rId1424" ref="I1425"/>
    <hyperlink r:id="rId1425" ref="I1426"/>
    <hyperlink r:id="rId1426" ref="I1427"/>
    <hyperlink r:id="rId1427" ref="I1428"/>
    <hyperlink r:id="rId1428" ref="I1429"/>
    <hyperlink r:id="rId1429" ref="I1430"/>
    <hyperlink r:id="rId1430" ref="I1431"/>
    <hyperlink r:id="rId1431" ref="I1432"/>
    <hyperlink r:id="rId1432" ref="I1433"/>
    <hyperlink r:id="rId1433" ref="I1434"/>
    <hyperlink r:id="rId1434" ref="I1435"/>
    <hyperlink r:id="rId1435" ref="I1436"/>
    <hyperlink r:id="rId1436" ref="I1437"/>
    <hyperlink r:id="rId1437" ref="I1438"/>
    <hyperlink r:id="rId1438" ref="I1439"/>
    <hyperlink r:id="rId1439" ref="I1440"/>
    <hyperlink r:id="rId1440" ref="I1441"/>
    <hyperlink r:id="rId1441" ref="I1442"/>
    <hyperlink r:id="rId1442" ref="I1443"/>
    <hyperlink r:id="rId1443" ref="I1444"/>
    <hyperlink r:id="rId1444" ref="I1445"/>
    <hyperlink r:id="rId1445" ref="I1446"/>
    <hyperlink r:id="rId1446" ref="I1447"/>
    <hyperlink r:id="rId1447" ref="I1448"/>
    <hyperlink r:id="rId1448" ref="I1449"/>
    <hyperlink r:id="rId1449" ref="I1450"/>
    <hyperlink r:id="rId1450" ref="I1451"/>
    <hyperlink r:id="rId1451" ref="I1452"/>
    <hyperlink r:id="rId1452" ref="I1453"/>
    <hyperlink r:id="rId1453" ref="I1454"/>
    <hyperlink r:id="rId1454" ref="I1455"/>
    <hyperlink r:id="rId1455" ref="I1456"/>
    <hyperlink r:id="rId1456" ref="I1457"/>
    <hyperlink r:id="rId1457" ref="I1458"/>
    <hyperlink r:id="rId1458" ref="I1459"/>
    <hyperlink r:id="rId1459" ref="I1460"/>
    <hyperlink r:id="rId1460" ref="I1461"/>
    <hyperlink r:id="rId1461" ref="I1462"/>
    <hyperlink r:id="rId1462" ref="I1463"/>
    <hyperlink r:id="rId1463" ref="I1464"/>
    <hyperlink r:id="rId1464" ref="I1465"/>
    <hyperlink r:id="rId1465" ref="I1466"/>
    <hyperlink r:id="rId1466" ref="I1467"/>
    <hyperlink r:id="rId1467" ref="I1468"/>
    <hyperlink r:id="rId1468" ref="I1469"/>
    <hyperlink r:id="rId1469" ref="I1470"/>
    <hyperlink r:id="rId1470" ref="I1471"/>
    <hyperlink r:id="rId1471" ref="I1472"/>
    <hyperlink r:id="rId1472" ref="I1473"/>
    <hyperlink r:id="rId1473" ref="I1474"/>
    <hyperlink r:id="rId1474" ref="I1475"/>
    <hyperlink r:id="rId1475" ref="I1476"/>
    <hyperlink r:id="rId1476" ref="I1477"/>
    <hyperlink r:id="rId1477" ref="I1478"/>
    <hyperlink r:id="rId1478" ref="I1479"/>
    <hyperlink r:id="rId1479" ref="I1480"/>
    <hyperlink r:id="rId1480" ref="I1481"/>
    <hyperlink r:id="rId1481" ref="I1482"/>
    <hyperlink r:id="rId1482" ref="I1483"/>
    <hyperlink r:id="rId1483" ref="I1484"/>
    <hyperlink r:id="rId1484" ref="I1485"/>
    <hyperlink r:id="rId1485" ref="I1486"/>
    <hyperlink r:id="rId1486" ref="I1487"/>
    <hyperlink r:id="rId1487" ref="I1488"/>
    <hyperlink r:id="rId1488" ref="I1489"/>
    <hyperlink r:id="rId1489" ref="I1490"/>
    <hyperlink r:id="rId1490" ref="I1491"/>
    <hyperlink r:id="rId1491" ref="I1492"/>
    <hyperlink r:id="rId1492" ref="I1493"/>
    <hyperlink r:id="rId1493" ref="I1494"/>
    <hyperlink r:id="rId1494" ref="I1495"/>
    <hyperlink r:id="rId1495" ref="I1496"/>
    <hyperlink r:id="rId1496" ref="I1497"/>
    <hyperlink r:id="rId1497" ref="I1498"/>
    <hyperlink r:id="rId1498" ref="I1499"/>
    <hyperlink r:id="rId1499" ref="I1500"/>
    <hyperlink r:id="rId1500" ref="I1501"/>
    <hyperlink r:id="rId1501" ref="I1502"/>
    <hyperlink r:id="rId1502" ref="I1503"/>
    <hyperlink r:id="rId1503" ref="I1504"/>
    <hyperlink r:id="rId1504" ref="I1505"/>
    <hyperlink r:id="rId1505" ref="I1506"/>
    <hyperlink r:id="rId1506" ref="I1507"/>
    <hyperlink r:id="rId1507" ref="I1508"/>
    <hyperlink r:id="rId1508" ref="I1509"/>
    <hyperlink r:id="rId1509" ref="I1510"/>
    <hyperlink r:id="rId1510" ref="I1511"/>
    <hyperlink r:id="rId1511" ref="I1512"/>
    <hyperlink r:id="rId1512" ref="I1513"/>
    <hyperlink r:id="rId1513" ref="I1514"/>
    <hyperlink r:id="rId1514" ref="I1515"/>
    <hyperlink r:id="rId1515" ref="I1516"/>
    <hyperlink r:id="rId1516" ref="I1517"/>
    <hyperlink r:id="rId1517" ref="I1518"/>
    <hyperlink r:id="rId1518" ref="I1519"/>
    <hyperlink r:id="rId1519" ref="I1520"/>
    <hyperlink r:id="rId1520" ref="I1521"/>
    <hyperlink r:id="rId1521" ref="I1522"/>
    <hyperlink r:id="rId1522" ref="I1523"/>
    <hyperlink r:id="rId1523" ref="I1524"/>
    <hyperlink r:id="rId1524" ref="I1525"/>
    <hyperlink r:id="rId1525" ref="I1526"/>
    <hyperlink r:id="rId1526" ref="I1527"/>
    <hyperlink r:id="rId1527" ref="I1528"/>
    <hyperlink r:id="rId1528" ref="I1529"/>
    <hyperlink r:id="rId1529" ref="I1530"/>
    <hyperlink r:id="rId1530" ref="I1531"/>
    <hyperlink r:id="rId1531" ref="I1532"/>
    <hyperlink r:id="rId1532" ref="I1533"/>
    <hyperlink r:id="rId1533" ref="I1534"/>
    <hyperlink r:id="rId1534" ref="I1535"/>
    <hyperlink r:id="rId1535" ref="I1536"/>
    <hyperlink r:id="rId1536" ref="I1537"/>
    <hyperlink r:id="rId1537" ref="I1538"/>
    <hyperlink r:id="rId1538" ref="I1539"/>
    <hyperlink r:id="rId1539" ref="I1540"/>
    <hyperlink r:id="rId1540" ref="I1541"/>
    <hyperlink r:id="rId1541" ref="I1542"/>
    <hyperlink r:id="rId1542" ref="I1543"/>
    <hyperlink r:id="rId1543" ref="I1544"/>
    <hyperlink r:id="rId1544" ref="I1545"/>
    <hyperlink r:id="rId1545" ref="I1546"/>
    <hyperlink r:id="rId1546" ref="I1547"/>
    <hyperlink r:id="rId1547" ref="I1548"/>
    <hyperlink r:id="rId1548" ref="I1549"/>
    <hyperlink r:id="rId1549" ref="I1550"/>
    <hyperlink r:id="rId1550" ref="I1551"/>
    <hyperlink r:id="rId1551" ref="I1552"/>
    <hyperlink r:id="rId1552" ref="I1553"/>
    <hyperlink r:id="rId1553" ref="I1554"/>
    <hyperlink r:id="rId1554" ref="I1555"/>
    <hyperlink r:id="rId1555" ref="I1556"/>
    <hyperlink r:id="rId1556" ref="I1557"/>
    <hyperlink r:id="rId1557" ref="I1558"/>
    <hyperlink r:id="rId1558" ref="I1559"/>
    <hyperlink r:id="rId1559" ref="I1560"/>
    <hyperlink r:id="rId1560" ref="I1561"/>
    <hyperlink r:id="rId1561" ref="I1562"/>
    <hyperlink r:id="rId1562" ref="I1563"/>
    <hyperlink r:id="rId1563" ref="I1564"/>
    <hyperlink r:id="rId1564" ref="I1565"/>
    <hyperlink r:id="rId1565" ref="I1566"/>
    <hyperlink r:id="rId1566" ref="I1567"/>
    <hyperlink r:id="rId1567" ref="I1568"/>
    <hyperlink r:id="rId1568" ref="I1569"/>
    <hyperlink r:id="rId1569" ref="I1570"/>
    <hyperlink r:id="rId1570" ref="I1571"/>
    <hyperlink r:id="rId1571" ref="I1572"/>
    <hyperlink r:id="rId1572" ref="I1573"/>
    <hyperlink r:id="rId1573" ref="I1574"/>
    <hyperlink r:id="rId1574" ref="I1575"/>
    <hyperlink r:id="rId1575" ref="I1576"/>
    <hyperlink r:id="rId1576" ref="I1577"/>
    <hyperlink r:id="rId1577" ref="I1578"/>
    <hyperlink r:id="rId1578" ref="I1579"/>
    <hyperlink r:id="rId1579" ref="I1580"/>
    <hyperlink r:id="rId1580" ref="I1581"/>
    <hyperlink r:id="rId1581" ref="I1582"/>
    <hyperlink r:id="rId1582" ref="I1583"/>
    <hyperlink r:id="rId1583" ref="I1584"/>
    <hyperlink r:id="rId1584" ref="I1585"/>
    <hyperlink r:id="rId1585" ref="I1586"/>
    <hyperlink r:id="rId1586" ref="I1587"/>
    <hyperlink r:id="rId1587" ref="I1588"/>
    <hyperlink r:id="rId1588" ref="I1589"/>
    <hyperlink r:id="rId1589" ref="I1590"/>
    <hyperlink r:id="rId1590" ref="I1591"/>
    <hyperlink r:id="rId1591" ref="I1592"/>
    <hyperlink r:id="rId1592" ref="I1593"/>
    <hyperlink r:id="rId1593" ref="I1594"/>
    <hyperlink r:id="rId1594" ref="I1595"/>
    <hyperlink r:id="rId1595" ref="I1596"/>
    <hyperlink r:id="rId1596" ref="I1597"/>
    <hyperlink r:id="rId1597" ref="I1598"/>
    <hyperlink r:id="rId1598" ref="I1599"/>
    <hyperlink r:id="rId1599" ref="I1600"/>
    <hyperlink r:id="rId1600" ref="I1601"/>
    <hyperlink r:id="rId1601" ref="I1602"/>
    <hyperlink r:id="rId1602" ref="I1603"/>
    <hyperlink r:id="rId1603" ref="I1604"/>
    <hyperlink r:id="rId1604" ref="I1605"/>
    <hyperlink r:id="rId1605" ref="I1606"/>
    <hyperlink r:id="rId1606" ref="I1607"/>
    <hyperlink r:id="rId1607" ref="I1608"/>
    <hyperlink r:id="rId1608" ref="I1609"/>
    <hyperlink r:id="rId1609" ref="I1610"/>
    <hyperlink r:id="rId1610" ref="I1611"/>
    <hyperlink r:id="rId1611" ref="I1612"/>
    <hyperlink r:id="rId1612" ref="I1613"/>
    <hyperlink r:id="rId1613" ref="I1614"/>
    <hyperlink r:id="rId1614" ref="I1615"/>
    <hyperlink r:id="rId1615" ref="I1616"/>
    <hyperlink r:id="rId1616" ref="I1617"/>
    <hyperlink r:id="rId1617" ref="I1618"/>
    <hyperlink r:id="rId1618" ref="I1619"/>
    <hyperlink r:id="rId1619" ref="I1620"/>
    <hyperlink r:id="rId1620" ref="I1621"/>
    <hyperlink r:id="rId1621" ref="I1622"/>
    <hyperlink r:id="rId1622" ref="I1623"/>
    <hyperlink r:id="rId1623" ref="I1624"/>
    <hyperlink r:id="rId1624" ref="I1625"/>
    <hyperlink r:id="rId1625" ref="I1626"/>
    <hyperlink r:id="rId1626" ref="I1627"/>
    <hyperlink r:id="rId1627" ref="I1628"/>
    <hyperlink r:id="rId1628" ref="I1629"/>
    <hyperlink r:id="rId1629" ref="I1630"/>
    <hyperlink r:id="rId1630" ref="I1631"/>
    <hyperlink r:id="rId1631" ref="I1632"/>
    <hyperlink r:id="rId1632" ref="I1633"/>
    <hyperlink r:id="rId1633" ref="I1634"/>
    <hyperlink r:id="rId1634" ref="I1635"/>
    <hyperlink r:id="rId1635" ref="I1636"/>
    <hyperlink r:id="rId1636" ref="I1637"/>
    <hyperlink r:id="rId1637" ref="I1638"/>
    <hyperlink r:id="rId1638" ref="I1639"/>
    <hyperlink r:id="rId1639" ref="I1640"/>
    <hyperlink r:id="rId1640" ref="I1641"/>
    <hyperlink r:id="rId1641" ref="I1642"/>
    <hyperlink r:id="rId1642" ref="I1643"/>
    <hyperlink r:id="rId1643" ref="I1644"/>
    <hyperlink r:id="rId1644" ref="I1645"/>
    <hyperlink r:id="rId1645" ref="I1646"/>
    <hyperlink r:id="rId1646" ref="I1647"/>
    <hyperlink r:id="rId1647" ref="I1648"/>
    <hyperlink r:id="rId1648" ref="I1649"/>
    <hyperlink r:id="rId1649" ref="I1650"/>
    <hyperlink r:id="rId1650" ref="I1651"/>
    <hyperlink r:id="rId1651" ref="I1652"/>
    <hyperlink r:id="rId1652" ref="I1653"/>
    <hyperlink r:id="rId1653" ref="I1654"/>
    <hyperlink r:id="rId1654" ref="I1655"/>
    <hyperlink r:id="rId1655" ref="I1656"/>
    <hyperlink r:id="rId1656" ref="I1657"/>
    <hyperlink r:id="rId1657" ref="I1658"/>
    <hyperlink r:id="rId1658" ref="I1659"/>
    <hyperlink r:id="rId1659" ref="I1660"/>
  </hyperlinks>
  <printOptions/>
  <pageMargins bottom="1.0" footer="0.0" header="0.0" left="0.75" right="0.75" top="1.0"/>
  <pageSetup paperSize="9" orientation="portrait"/>
  <drawing r:id="rId166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6.0"/>
    <col customWidth="1" min="3" max="3" width="12.0"/>
    <col customWidth="1" min="4" max="4" width="46.0"/>
    <col customWidth="1" min="5" max="26" width="8.71"/>
  </cols>
  <sheetData>
    <row r="2">
      <c r="B2" s="5" t="s">
        <v>4</v>
      </c>
    </row>
    <row r="3">
      <c r="B3" s="2" t="s">
        <v>10</v>
      </c>
    </row>
    <row r="5">
      <c r="B5" s="8" t="s">
        <v>15</v>
      </c>
      <c r="C5" s="11"/>
      <c r="D5" s="11"/>
    </row>
    <row r="6">
      <c r="B6" s="7" t="s">
        <v>28</v>
      </c>
      <c r="C6" s="18">
        <f>COUNTA(Tracker!$C$2:$C$1660)</f>
        <v>1659</v>
      </c>
      <c r="D6" s="20"/>
    </row>
    <row r="7">
      <c r="B7" s="7" t="s">
        <v>51</v>
      </c>
      <c r="C7" s="18">
        <f>COUNTIF(Tracker!$M$2:$M$1660,"Applied")+COUNTIF(Tracker!$M$2:$M$1660,"OA / take-home")+COUNTIF(Tracker!$M$2:$M$1660,"Phone screen")+COUNTIF(Tracker!$M$2:$M$1660,"Onsite / final")+COUNTIF(Tracker!$M$2:$M$1660,"Offer")</f>
        <v>0</v>
      </c>
      <c r="D7" s="20" t="s">
        <v>72</v>
      </c>
    </row>
    <row r="8">
      <c r="B8" s="7" t="s">
        <v>73</v>
      </c>
      <c r="C8" s="18">
        <f>COUNTA(Tracker!$C$2:$C$1660)-COUNTA(Tracker!$M$2:$M$1660)+COUNTIF(Tracker!$M$2:$M$1660,"Not started")</f>
        <v>1659</v>
      </c>
      <c r="D8" s="20"/>
    </row>
    <row r="9">
      <c r="B9" s="7" t="s">
        <v>77</v>
      </c>
      <c r="C9" s="18">
        <f>COUNTIF(Tracker!$M$2:$M$1660,"OA / take-home")+COUNTIF(Tracker!$M$2:$M$1660,"Phone screen")+COUNTIF(Tracker!$M$2:$M$1660,"Onsite / final")</f>
        <v>0</v>
      </c>
      <c r="D9" s="20"/>
    </row>
    <row r="10">
      <c r="B10" s="7" t="s">
        <v>79</v>
      </c>
      <c r="C10" s="18">
        <f>COUNTIF(Tracker!$M$2:$M$1660,"Offer")</f>
        <v>0</v>
      </c>
      <c r="D10" s="20"/>
    </row>
    <row r="11">
      <c r="B11" s="7" t="s">
        <v>81</v>
      </c>
      <c r="C11" s="18">
        <f>COUNTIF(Tracker!$M$2:$M$1660,"Rejected")</f>
        <v>0</v>
      </c>
      <c r="D11" s="20"/>
    </row>
    <row r="12">
      <c r="B12" s="7" t="s">
        <v>87</v>
      </c>
      <c r="C12" s="27" t="str">
        <f>IFERROR((COUNTIF(Tracker!$M$2:$M$1660,"OA / take-home")+COUNTIF(Tracker!$M$2:$M$1660,"Phone screen")+COUNTIF(Tracker!$M$2:$M$1660,"Onsite / final")+COUNTIF(Tracker!$M$2:$M$1660,"Offer"))/(COUNTIF(Tracker!$M$2:$M$1660,"Applied")+COUNTIF(Tracker!$M$2:$M$1660,"OA / take-home")+COUNTIF(Tracker!$M$2:$M$1660,"Phone screen")+COUNTIF(Tracker!$M$2:$M$1660,"Onsite / final")+COUNTIF(Tracker!$M$2:$M$1660,"Offer")),"—")</f>
        <v>—</v>
      </c>
      <c r="D12" s="20"/>
    </row>
    <row r="14">
      <c r="B14" s="8" t="s">
        <v>96</v>
      </c>
      <c r="C14" s="11"/>
      <c r="D14" s="11"/>
    </row>
    <row r="15">
      <c r="B15" s="7" t="s">
        <v>20</v>
      </c>
      <c r="C15" s="18">
        <f>COUNTIF(Tracker!$A$2:$A$1660,"A — apply first")</f>
        <v>43</v>
      </c>
      <c r="D15" s="20"/>
    </row>
    <row r="16">
      <c r="B16" s="7" t="s">
        <v>29</v>
      </c>
      <c r="C16" s="18">
        <f>COUNTIF(Tracker!$A$2:$A$1660,"B — strong fit")</f>
        <v>159</v>
      </c>
      <c r="D16" s="20"/>
    </row>
    <row r="17">
      <c r="B17" s="7" t="s">
        <v>33</v>
      </c>
      <c r="C17" s="18">
        <f>COUNTIF(Tracker!$A$2:$A$1660,"C — worth applying")</f>
        <v>315</v>
      </c>
      <c r="D17" s="20"/>
    </row>
    <row r="18">
      <c r="B18" s="7" t="s">
        <v>39</v>
      </c>
      <c r="C18" s="18">
        <f>COUNTIF(Tracker!$A$2:$A$1660,"D — volume / backup")</f>
        <v>1142</v>
      </c>
      <c r="D18" s="20"/>
    </row>
    <row r="20">
      <c r="B20" s="8" t="s">
        <v>107</v>
      </c>
      <c r="C20" s="11"/>
      <c r="D20" s="11"/>
    </row>
    <row r="21" ht="15.75" customHeight="1">
      <c r="B21" s="7" t="s">
        <v>109</v>
      </c>
      <c r="C21" s="18">
        <f>COUNTIF(Tracker!$E$2:$E$1660,"SWE")</f>
        <v>661</v>
      </c>
      <c r="D21" s="20"/>
    </row>
    <row r="22" ht="15.75" customHeight="1">
      <c r="B22" s="7" t="s">
        <v>54</v>
      </c>
      <c r="C22" s="18">
        <f>COUNTIF(Tracker!$E$2:$E$1660,"ML/AI")</f>
        <v>324</v>
      </c>
      <c r="D22" s="20"/>
    </row>
    <row r="23" ht="15.75" customHeight="1">
      <c r="B23" s="7" t="s">
        <v>88</v>
      </c>
      <c r="C23" s="18">
        <f>COUNTIF(Tracker!$E$2:$E$1660,"CV/Robotics")</f>
        <v>143</v>
      </c>
      <c r="D23" s="20"/>
    </row>
    <row r="24" ht="15.75" customHeight="1">
      <c r="B24" s="7" t="s">
        <v>115</v>
      </c>
      <c r="C24" s="18">
        <f>COUNTIF(Tracker!$E$2:$E$1660,"Data")</f>
        <v>142</v>
      </c>
      <c r="D24" s="20"/>
    </row>
    <row r="25" ht="15.75" customHeight="1">
      <c r="B25" s="7" t="s">
        <v>116</v>
      </c>
      <c r="C25" s="18">
        <f>COUNTIF(Tracker!$E$2:$E$1660,"Research")</f>
        <v>111</v>
      </c>
      <c r="D25" s="20"/>
    </row>
    <row r="26" ht="15.75" customHeight="1">
      <c r="B26" s="7" t="s">
        <v>119</v>
      </c>
      <c r="C26" s="18">
        <f>COUNTIF(Tracker!$E$2:$E$1660,"Quant")</f>
        <v>101</v>
      </c>
      <c r="D26" s="20"/>
    </row>
    <row r="27" ht="15.75" customHeight="1">
      <c r="B27" s="7" t="s">
        <v>121</v>
      </c>
      <c r="C27" s="18">
        <f>COUNTIF(Tracker!$E$2:$E$1660,"Hardware")</f>
        <v>68</v>
      </c>
      <c r="D27" s="20"/>
    </row>
    <row r="28" ht="15.75" customHeight="1">
      <c r="B28" s="7" t="s">
        <v>124</v>
      </c>
      <c r="C28" s="18">
        <f>COUNTIF(Tracker!$E$2:$E$1660,"Product")</f>
        <v>55</v>
      </c>
      <c r="D28" s="20"/>
    </row>
    <row r="29" ht="15.75" customHeight="1">
      <c r="B29" s="7" t="s">
        <v>127</v>
      </c>
      <c r="C29" s="18">
        <f>COUNTIF(Tracker!$E$2:$E$1660,"Other")</f>
        <v>33</v>
      </c>
      <c r="D29" s="20"/>
    </row>
    <row r="30" ht="15.75" customHeight="1">
      <c r="B30" s="7" t="s">
        <v>129</v>
      </c>
      <c r="C30" s="18">
        <f>COUNTIF(Tracker!$E$2:$E$1660,"Security")</f>
        <v>21</v>
      </c>
      <c r="D30" s="20"/>
    </row>
    <row r="31" ht="15.75" customHeight="1"/>
    <row r="32" ht="15.75" customHeight="1">
      <c r="B32" s="8" t="s">
        <v>133</v>
      </c>
      <c r="C32" s="11"/>
      <c r="D32" s="11"/>
    </row>
    <row r="33" ht="15.75" customHeight="1">
      <c r="B33" s="7" t="s">
        <v>135</v>
      </c>
      <c r="C33" s="18">
        <f>COUNTIF(Tracker!$G$2:$G$1660,"Unknown")</f>
        <v>608</v>
      </c>
      <c r="D33" s="20" t="s">
        <v>138</v>
      </c>
    </row>
    <row r="34" ht="15.75" customHeight="1">
      <c r="B34" s="7" t="s">
        <v>57</v>
      </c>
      <c r="C34" s="18">
        <f>COUNTIF(Tracker!$G$2:$G$1660,"Fall 2026")</f>
        <v>465</v>
      </c>
      <c r="D34" s="20"/>
    </row>
    <row r="35" ht="15.75" customHeight="1">
      <c r="B35" s="7" t="s">
        <v>90</v>
      </c>
      <c r="C35" s="18">
        <f>COUNTIF(Tracker!$G$2:$G$1660,"Summer 2027")</f>
        <v>458</v>
      </c>
      <c r="D35" s="20"/>
    </row>
    <row r="36" ht="15.75" customHeight="1">
      <c r="B36" s="7" t="s">
        <v>142</v>
      </c>
      <c r="C36" s="18">
        <f>COUNTIF(Tracker!$G$2:$G$1660,"Off-cycle")</f>
        <v>92</v>
      </c>
      <c r="D36" s="20"/>
    </row>
    <row r="37" ht="15.75" customHeight="1">
      <c r="B37" s="7" t="s">
        <v>146</v>
      </c>
      <c r="C37" s="18">
        <f>COUNTIF(Tracker!$G$2:$G$1660,"Spring 2027")</f>
        <v>36</v>
      </c>
      <c r="D37" s="20"/>
    </row>
    <row r="38" ht="15.75" customHeight="1"/>
    <row r="39" ht="15.75" customHeight="1">
      <c r="B39" s="8" t="s">
        <v>149</v>
      </c>
      <c r="C39" s="11"/>
      <c r="D39" s="11"/>
    </row>
    <row r="40" ht="15.75" customHeight="1">
      <c r="B40" s="7" t="s">
        <v>150</v>
      </c>
      <c r="C40" s="18">
        <f>COUNTIF(Tracker!$H$2:$H$1660,"Known high-volume*")</f>
        <v>583</v>
      </c>
      <c r="D40" s="20" t="s">
        <v>154</v>
      </c>
    </row>
    <row r="41" ht="15.75" customHeight="1">
      <c r="B41" s="7" t="s">
        <v>155</v>
      </c>
      <c r="C41" s="18">
        <f>COUNTIF(Tracker!$H$2:$H$1660,"No restriction*")</f>
        <v>461</v>
      </c>
      <c r="D41" s="20"/>
    </row>
    <row r="42" ht="15.75" customHeight="1">
      <c r="B42" s="7" t="s">
        <v>158</v>
      </c>
      <c r="C42" s="18">
        <f>COUNTIF(Tracker!$H$2:$H$1660,"Not stated*")</f>
        <v>588</v>
      </c>
      <c r="D42" s="20"/>
    </row>
    <row r="43" ht="15.75" customHeight="1">
      <c r="B43" s="7" t="s">
        <v>161</v>
      </c>
      <c r="C43" s="18">
        <f>COUNTIF(Tracker!$H$2:$H$1660,"Posting states no*")</f>
        <v>27</v>
      </c>
      <c r="D43" s="20" t="s">
        <v>163</v>
      </c>
    </row>
    <row r="44" ht="15.75" customHeight="1">
      <c r="B44" s="7" t="s">
        <v>164</v>
      </c>
      <c r="C44" s="18" t="s">
        <v>166</v>
      </c>
      <c r="D44" s="20" t="s">
        <v>167</v>
      </c>
    </row>
    <row r="45" ht="15.75" customHeight="1"/>
    <row r="46" ht="15.75" customHeight="1">
      <c r="B46" s="8" t="s">
        <v>168</v>
      </c>
      <c r="C46" s="11"/>
      <c r="D46" s="11"/>
    </row>
    <row r="47" ht="15.75" customHeight="1">
      <c r="B47" s="7" t="s">
        <v>84</v>
      </c>
      <c r="C47" s="18">
        <f>COUNTIF(Tracker!$C$2:$C$1660,"TikTok/ByteDance")</f>
        <v>159</v>
      </c>
      <c r="D47" s="20"/>
    </row>
    <row r="48" ht="15.75" customHeight="1">
      <c r="B48" s="7" t="s">
        <v>172</v>
      </c>
      <c r="C48" s="18">
        <f>COUNTIF(Tracker!$C$2:$C$1660,"Tesla")</f>
        <v>37</v>
      </c>
      <c r="D48" s="20"/>
    </row>
    <row r="49" ht="15.75" customHeight="1">
      <c r="B49" s="7" t="s">
        <v>174</v>
      </c>
      <c r="C49" s="18">
        <f>COUNTIF(Tracker!$C$2:$C$1660,"Susquehanna (SIG)")</f>
        <v>25</v>
      </c>
      <c r="D49" s="20"/>
    </row>
    <row r="50" ht="15.75" customHeight="1">
      <c r="B50" s="7" t="s">
        <v>46</v>
      </c>
      <c r="C50" s="18">
        <f>COUNTIF(Tracker!$C$2:$C$1660,"NVIDIA")</f>
        <v>24</v>
      </c>
      <c r="D50" s="20"/>
    </row>
    <row r="51" ht="15.75" customHeight="1">
      <c r="B51" s="7" t="s">
        <v>179</v>
      </c>
      <c r="C51" s="18">
        <f>COUNTIF(Tracker!$C$2:$C$1660,"Palantir")</f>
        <v>23</v>
      </c>
      <c r="D51" s="20"/>
    </row>
    <row r="52" ht="15.75" customHeight="1">
      <c r="B52" s="7" t="s">
        <v>182</v>
      </c>
      <c r="C52" s="18">
        <f>COUNTIF(Tracker!$C$2:$C$1660,"Jane Street")</f>
        <v>15</v>
      </c>
      <c r="D52" s="20"/>
    </row>
    <row r="53" ht="15.75" customHeight="1">
      <c r="B53" s="7" t="s">
        <v>183</v>
      </c>
      <c r="C53" s="18">
        <f>COUNTIF(Tracker!$C$2:$C$1660,"Microsoft")</f>
        <v>14</v>
      </c>
      <c r="D53" s="20"/>
    </row>
    <row r="54" ht="15.75" customHeight="1">
      <c r="B54" s="7" t="s">
        <v>187</v>
      </c>
      <c r="C54" s="18">
        <f>COUNTIF(Tracker!$C$2:$C$1660,"Palantir Technologies")</f>
        <v>14</v>
      </c>
      <c r="D54" s="20"/>
    </row>
    <row r="55" ht="15.75" customHeight="1">
      <c r="B55" s="7" t="s">
        <v>191</v>
      </c>
      <c r="C55" s="18">
        <f>COUNTIF(Tracker!$C$2:$C$1660,"Optiver")</f>
        <v>13</v>
      </c>
      <c r="D55" s="20"/>
    </row>
    <row r="56" ht="15.75" customHeight="1">
      <c r="B56" s="7" t="s">
        <v>192</v>
      </c>
      <c r="C56" s="18">
        <f>COUNTIF(Tracker!$C$2:$C$1660,"Apple")</f>
        <v>12</v>
      </c>
      <c r="D56" s="20"/>
    </row>
    <row r="57" ht="15.75" customHeight="1">
      <c r="B57" s="7" t="s">
        <v>194</v>
      </c>
      <c r="C57" s="18">
        <f>COUNTIF(Tracker!$C$2:$C$1660,"Intel")</f>
        <v>12</v>
      </c>
      <c r="D57" s="20"/>
    </row>
    <row r="58" ht="15.75" customHeight="1">
      <c r="B58" s="7" t="s">
        <v>197</v>
      </c>
      <c r="C58" s="18">
        <f>COUNTIF(Tracker!$C$2:$C$1660,"RTX")</f>
        <v>12</v>
      </c>
      <c r="D58" s="20"/>
    </row>
    <row r="59" ht="15.75" customHeight="1">
      <c r="B59" s="7" t="s">
        <v>198</v>
      </c>
      <c r="C59" s="18">
        <f>COUNTIF(Tracker!$C$2:$C$1660,"Jump Trading")</f>
        <v>11</v>
      </c>
      <c r="D59" s="20"/>
    </row>
    <row r="60" ht="15.75" customHeight="1">
      <c r="B60" s="7" t="s">
        <v>201</v>
      </c>
      <c r="C60" s="18">
        <f>COUNTIF(Tracker!$C$2:$C$1660,"Uline")</f>
        <v>11</v>
      </c>
      <c r="D60" s="20"/>
    </row>
    <row r="61" ht="15.75" customHeight="1">
      <c r="B61" s="7" t="s">
        <v>203</v>
      </c>
      <c r="C61" s="18">
        <f>COUNTIF(Tracker!$C$2:$C$1660,"Meta")</f>
        <v>10</v>
      </c>
      <c r="D61" s="20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  <col customWidth="1" min="2" max="2" width="17.0"/>
    <col customWidth="1" min="3" max="3" width="96.0"/>
    <col customWidth="1" min="4" max="26" width="8.71"/>
  </cols>
  <sheetData>
    <row r="1">
      <c r="A1" s="3" t="s">
        <v>2</v>
      </c>
      <c r="B1" s="3" t="s">
        <v>5</v>
      </c>
      <c r="C1" s="3" t="s">
        <v>8</v>
      </c>
    </row>
    <row r="2">
      <c r="A2" s="7" t="s">
        <v>13</v>
      </c>
      <c r="B2" s="9">
        <v>160.0</v>
      </c>
      <c r="C2" s="15" t="s">
        <v>23</v>
      </c>
    </row>
    <row r="3">
      <c r="A3" s="7" t="s">
        <v>40</v>
      </c>
      <c r="B3" s="9">
        <v>145.0</v>
      </c>
      <c r="C3" s="15" t="s">
        <v>42</v>
      </c>
    </row>
    <row r="4">
      <c r="A4" s="7" t="s">
        <v>52</v>
      </c>
      <c r="B4" s="9">
        <v>132.0</v>
      </c>
      <c r="C4" s="15" t="s">
        <v>56</v>
      </c>
    </row>
    <row r="5">
      <c r="A5" s="7" t="s">
        <v>66</v>
      </c>
      <c r="B5" s="9">
        <v>119.0</v>
      </c>
      <c r="C5" s="15" t="s">
        <v>69</v>
      </c>
    </row>
    <row r="6">
      <c r="A6" s="7" t="s">
        <v>74</v>
      </c>
      <c r="B6" s="9">
        <v>102.0</v>
      </c>
      <c r="C6" s="15" t="s">
        <v>75</v>
      </c>
    </row>
    <row r="7">
      <c r="A7" s="7" t="s">
        <v>78</v>
      </c>
      <c r="B7" s="9">
        <v>98.0</v>
      </c>
      <c r="C7" s="15" t="s">
        <v>80</v>
      </c>
    </row>
    <row r="8">
      <c r="A8" s="7" t="s">
        <v>82</v>
      </c>
      <c r="B8" s="9">
        <v>85.0</v>
      </c>
      <c r="C8" s="15" t="s">
        <v>85</v>
      </c>
    </row>
    <row r="9">
      <c r="A9" s="7" t="s">
        <v>92</v>
      </c>
      <c r="B9" s="9">
        <v>76.0</v>
      </c>
      <c r="C9" s="15" t="s">
        <v>93</v>
      </c>
    </row>
    <row r="10">
      <c r="A10" s="7" t="s">
        <v>94</v>
      </c>
      <c r="B10" s="9">
        <v>74.0</v>
      </c>
      <c r="C10" s="15" t="s">
        <v>97</v>
      </c>
    </row>
    <row r="11">
      <c r="A11" s="7" t="s">
        <v>99</v>
      </c>
      <c r="B11" s="9">
        <v>66.0</v>
      </c>
      <c r="C11" s="15" t="s">
        <v>23</v>
      </c>
    </row>
    <row r="12">
      <c r="A12" s="7" t="s">
        <v>100</v>
      </c>
      <c r="B12" s="9">
        <v>59.0</v>
      </c>
      <c r="C12" s="15" t="s">
        <v>101</v>
      </c>
    </row>
    <row r="13">
      <c r="A13" s="7" t="s">
        <v>105</v>
      </c>
      <c r="B13" s="9">
        <v>53.0</v>
      </c>
      <c r="C13" s="15" t="s">
        <v>106</v>
      </c>
    </row>
    <row r="14">
      <c r="A14" s="7" t="s">
        <v>110</v>
      </c>
      <c r="B14" s="9">
        <v>50.0</v>
      </c>
      <c r="C14" s="15" t="s">
        <v>111</v>
      </c>
    </row>
    <row r="15">
      <c r="A15" s="7" t="s">
        <v>112</v>
      </c>
      <c r="B15" s="9">
        <v>45.0</v>
      </c>
      <c r="C15" s="15" t="s">
        <v>101</v>
      </c>
    </row>
    <row r="16">
      <c r="A16" s="7" t="s">
        <v>114</v>
      </c>
      <c r="B16" s="9">
        <v>37.0</v>
      </c>
      <c r="C16" s="15" t="s">
        <v>111</v>
      </c>
    </row>
    <row r="17">
      <c r="A17" s="7" t="s">
        <v>117</v>
      </c>
      <c r="B17" s="9">
        <v>35.0</v>
      </c>
      <c r="C17" s="15" t="s">
        <v>118</v>
      </c>
    </row>
    <row r="18">
      <c r="A18" s="7" t="s">
        <v>122</v>
      </c>
      <c r="B18" s="9">
        <v>30.0</v>
      </c>
      <c r="C18" s="15" t="s">
        <v>23</v>
      </c>
    </row>
    <row r="19">
      <c r="A19" s="7" t="s">
        <v>125</v>
      </c>
      <c r="B19" s="9">
        <v>30.0</v>
      </c>
      <c r="C19" s="15" t="s">
        <v>126</v>
      </c>
    </row>
    <row r="20">
      <c r="A20" s="7" t="s">
        <v>130</v>
      </c>
      <c r="B20" s="9">
        <v>25.0</v>
      </c>
      <c r="C20" s="15" t="s">
        <v>131</v>
      </c>
    </row>
    <row r="21" ht="15.75" customHeight="1">
      <c r="A21" s="7" t="s">
        <v>137</v>
      </c>
      <c r="B21" s="9">
        <v>24.0</v>
      </c>
      <c r="C21" s="15" t="s">
        <v>97</v>
      </c>
    </row>
    <row r="22" ht="15.75" customHeight="1">
      <c r="A22" s="7" t="s">
        <v>139</v>
      </c>
      <c r="B22" s="9">
        <v>22.0</v>
      </c>
      <c r="C22" s="15" t="s">
        <v>141</v>
      </c>
    </row>
    <row r="23" ht="15.75" customHeight="1">
      <c r="A23" s="7" t="s">
        <v>143</v>
      </c>
      <c r="B23" s="9">
        <v>21.0</v>
      </c>
      <c r="C23" s="15" t="s">
        <v>23</v>
      </c>
    </row>
    <row r="24" ht="15.75" customHeight="1">
      <c r="A24" s="7" t="s">
        <v>145</v>
      </c>
      <c r="B24" s="9">
        <v>21.0</v>
      </c>
      <c r="C24" s="15" t="s">
        <v>148</v>
      </c>
    </row>
    <row r="25" ht="15.75" customHeight="1">
      <c r="A25" s="7" t="s">
        <v>152</v>
      </c>
      <c r="B25" s="9">
        <v>14.0</v>
      </c>
      <c r="C25" s="15" t="s">
        <v>153</v>
      </c>
    </row>
    <row r="26" ht="15.75" customHeight="1">
      <c r="A26" s="7" t="s">
        <v>156</v>
      </c>
      <c r="B26" s="9">
        <v>13.0</v>
      </c>
      <c r="C26" s="15" t="s">
        <v>159</v>
      </c>
    </row>
    <row r="27" ht="15.75" customHeight="1">
      <c r="A27" s="7" t="s">
        <v>162</v>
      </c>
      <c r="B27" s="9">
        <v>12.0</v>
      </c>
      <c r="C27" s="15" t="s">
        <v>165</v>
      </c>
    </row>
    <row r="28" ht="15.75" customHeight="1">
      <c r="A28" s="7" t="s">
        <v>171</v>
      </c>
      <c r="B28" s="9">
        <v>11.0</v>
      </c>
      <c r="C28" s="15" t="s">
        <v>173</v>
      </c>
    </row>
    <row r="29" ht="15.75" customHeight="1">
      <c r="A29" s="7" t="s">
        <v>175</v>
      </c>
      <c r="B29" s="9">
        <v>8.0</v>
      </c>
      <c r="C29" s="15" t="s">
        <v>80</v>
      </c>
    </row>
    <row r="30" ht="15.75" customHeight="1">
      <c r="A30" s="7" t="s">
        <v>180</v>
      </c>
      <c r="B30" s="9">
        <v>8.0</v>
      </c>
      <c r="C30" s="15" t="s">
        <v>181</v>
      </c>
    </row>
    <row r="31" ht="15.75" customHeight="1">
      <c r="A31" s="7" t="s">
        <v>184</v>
      </c>
      <c r="B31" s="9">
        <v>7.0</v>
      </c>
      <c r="C31" s="15" t="s">
        <v>75</v>
      </c>
    </row>
    <row r="32" ht="15.75" customHeight="1">
      <c r="A32" s="7" t="s">
        <v>188</v>
      </c>
      <c r="B32" s="9">
        <v>6.0</v>
      </c>
      <c r="C32" s="15" t="s">
        <v>189</v>
      </c>
    </row>
    <row r="33" ht="15.75" customHeight="1">
      <c r="A33" s="7" t="s">
        <v>193</v>
      </c>
      <c r="B33" s="9">
        <v>6.0</v>
      </c>
      <c r="C33" s="15" t="s">
        <v>195</v>
      </c>
    </row>
    <row r="34" ht="15.75" customHeight="1">
      <c r="A34" s="7" t="s">
        <v>199</v>
      </c>
      <c r="B34" s="9">
        <v>5.0</v>
      </c>
      <c r="C34" s="15" t="s">
        <v>200</v>
      </c>
    </row>
    <row r="35" ht="15.75" customHeight="1">
      <c r="A35" s="7" t="s">
        <v>204</v>
      </c>
      <c r="B35" s="9">
        <v>5.0</v>
      </c>
      <c r="C35" s="15" t="s">
        <v>205</v>
      </c>
    </row>
    <row r="36" ht="15.75" customHeight="1">
      <c r="A36" s="7" t="s">
        <v>207</v>
      </c>
      <c r="B36" s="9">
        <v>5.0</v>
      </c>
      <c r="C36" s="15" t="s">
        <v>209</v>
      </c>
    </row>
    <row r="37" ht="15.75" customHeight="1">
      <c r="A37" s="7" t="s">
        <v>211</v>
      </c>
      <c r="B37" s="9">
        <v>4.0</v>
      </c>
      <c r="C37" s="15" t="s">
        <v>212</v>
      </c>
    </row>
    <row r="38" ht="15.75" customHeight="1">
      <c r="A38" s="7" t="s">
        <v>213</v>
      </c>
      <c r="B38" s="9">
        <v>4.0</v>
      </c>
      <c r="C38" s="15" t="s">
        <v>23</v>
      </c>
    </row>
    <row r="39" ht="15.75" customHeight="1">
      <c r="A39" s="7" t="s">
        <v>177</v>
      </c>
      <c r="B39" s="9">
        <v>3.0</v>
      </c>
      <c r="C39" s="15" t="s">
        <v>148</v>
      </c>
    </row>
    <row r="40" ht="15.75" customHeight="1">
      <c r="A40" s="7" t="s">
        <v>215</v>
      </c>
      <c r="B40" s="9">
        <v>3.0</v>
      </c>
      <c r="C40" s="15" t="s">
        <v>216</v>
      </c>
    </row>
    <row r="41" ht="15.75" customHeight="1">
      <c r="A41" s="7" t="s">
        <v>221</v>
      </c>
      <c r="B41" s="9">
        <v>3.0</v>
      </c>
      <c r="C41" s="15" t="s">
        <v>222</v>
      </c>
    </row>
    <row r="42" ht="15.75" customHeight="1">
      <c r="A42" s="7" t="s">
        <v>224</v>
      </c>
      <c r="B42" s="9">
        <v>3.0</v>
      </c>
      <c r="C42" s="15" t="s">
        <v>225</v>
      </c>
    </row>
    <row r="43" ht="15.75" customHeight="1">
      <c r="A43" s="7" t="s">
        <v>228</v>
      </c>
      <c r="B43" s="9">
        <v>3.0</v>
      </c>
      <c r="C43" s="15" t="s">
        <v>229</v>
      </c>
    </row>
    <row r="44" ht="15.75" customHeight="1">
      <c r="A44" s="7" t="s">
        <v>231</v>
      </c>
      <c r="B44" s="9">
        <v>2.0</v>
      </c>
      <c r="C44" s="15" t="s">
        <v>232</v>
      </c>
    </row>
    <row r="45" ht="15.75" customHeight="1">
      <c r="A45" s="7" t="s">
        <v>234</v>
      </c>
      <c r="B45" s="9">
        <v>2.0</v>
      </c>
      <c r="C45" s="15" t="s">
        <v>235</v>
      </c>
    </row>
    <row r="46" ht="15.75" customHeight="1">
      <c r="A46" s="7" t="s">
        <v>237</v>
      </c>
      <c r="B46" s="9">
        <v>2.0</v>
      </c>
      <c r="C46" s="15" t="s">
        <v>239</v>
      </c>
    </row>
    <row r="47" ht="15.75" customHeight="1">
      <c r="A47" s="7" t="s">
        <v>242</v>
      </c>
      <c r="B47" s="9">
        <v>2.0</v>
      </c>
      <c r="C47" s="15" t="s">
        <v>243</v>
      </c>
    </row>
    <row r="48" ht="15.75" customHeight="1">
      <c r="A48" s="7" t="s">
        <v>244</v>
      </c>
      <c r="B48" s="9">
        <v>2.0</v>
      </c>
      <c r="C48" s="15" t="s">
        <v>245</v>
      </c>
    </row>
    <row r="49" ht="15.75" customHeight="1">
      <c r="A49" s="7" t="s">
        <v>246</v>
      </c>
      <c r="B49" s="9">
        <v>2.0</v>
      </c>
      <c r="C49" s="15" t="s">
        <v>247</v>
      </c>
    </row>
    <row r="50" ht="15.75" customHeight="1">
      <c r="A50" s="7" t="s">
        <v>249</v>
      </c>
      <c r="B50" s="9">
        <v>1.0</v>
      </c>
      <c r="C50" s="15" t="s">
        <v>251</v>
      </c>
    </row>
    <row r="51" ht="15.75" customHeight="1">
      <c r="A51" s="7" t="s">
        <v>252</v>
      </c>
      <c r="B51" s="9">
        <v>1.0</v>
      </c>
      <c r="C51" s="15" t="s">
        <v>253</v>
      </c>
    </row>
    <row r="52" ht="15.75" customHeight="1">
      <c r="A52" s="7" t="s">
        <v>255</v>
      </c>
      <c r="B52" s="9">
        <v>1.0</v>
      </c>
      <c r="C52" s="15" t="s">
        <v>256</v>
      </c>
    </row>
    <row r="53" ht="15.75" customHeight="1">
      <c r="A53" s="7" t="s">
        <v>258</v>
      </c>
      <c r="B53" s="9">
        <v>1.0</v>
      </c>
      <c r="C53" s="15" t="s">
        <v>259</v>
      </c>
    </row>
    <row r="54" ht="15.75" customHeight="1">
      <c r="A54" s="7" t="s">
        <v>260</v>
      </c>
      <c r="B54" s="9">
        <v>1.0</v>
      </c>
      <c r="C54" s="15" t="s">
        <v>261</v>
      </c>
    </row>
    <row r="55" ht="15.75" customHeight="1">
      <c r="A55" s="7" t="s">
        <v>264</v>
      </c>
      <c r="B55" s="9">
        <v>1.0</v>
      </c>
      <c r="C55" s="15" t="s">
        <v>265</v>
      </c>
    </row>
    <row r="56" ht="15.75" customHeight="1">
      <c r="A56" s="7" t="s">
        <v>266</v>
      </c>
      <c r="B56" s="9">
        <v>1.0</v>
      </c>
      <c r="C56" s="15" t="s">
        <v>267</v>
      </c>
    </row>
    <row r="57" ht="15.75" customHeight="1">
      <c r="A57" s="7" t="s">
        <v>269</v>
      </c>
      <c r="B57" s="9">
        <v>1.0</v>
      </c>
      <c r="C57" s="15" t="s">
        <v>270</v>
      </c>
    </row>
    <row r="58" ht="15.75" customHeight="1">
      <c r="A58" s="7" t="s">
        <v>271</v>
      </c>
      <c r="B58" s="9">
        <v>1.0</v>
      </c>
      <c r="C58" s="15" t="s">
        <v>272</v>
      </c>
    </row>
    <row r="59" ht="15.75" customHeight="1">
      <c r="A59" s="7" t="s">
        <v>275</v>
      </c>
      <c r="B59" s="9">
        <v>1.0</v>
      </c>
      <c r="C59" s="15" t="s">
        <v>276</v>
      </c>
    </row>
    <row r="60" ht="15.75" customHeight="1">
      <c r="A60" s="7" t="s">
        <v>278</v>
      </c>
      <c r="B60" s="9">
        <v>1.0</v>
      </c>
      <c r="C60" s="15" t="s">
        <v>279</v>
      </c>
    </row>
    <row r="61" ht="15.75" customHeight="1">
      <c r="A61" s="7" t="s">
        <v>280</v>
      </c>
      <c r="B61" s="9">
        <v>1.0</v>
      </c>
      <c r="C61" s="15" t="s">
        <v>281</v>
      </c>
    </row>
    <row r="62" ht="15.75" customHeight="1">
      <c r="A62" s="7" t="s">
        <v>283</v>
      </c>
      <c r="B62" s="9">
        <v>1.0</v>
      </c>
      <c r="C62" s="15" t="s">
        <v>284</v>
      </c>
    </row>
    <row r="63" ht="15.75" customHeight="1">
      <c r="A63" s="7" t="s">
        <v>285</v>
      </c>
      <c r="B63" s="9">
        <v>1.0</v>
      </c>
      <c r="C63" s="15" t="s">
        <v>286</v>
      </c>
    </row>
    <row r="64" ht="15.75" customHeight="1">
      <c r="A64" s="7" t="s">
        <v>288</v>
      </c>
      <c r="B64" s="9">
        <v>1.0</v>
      </c>
      <c r="C64" s="15" t="s">
        <v>289</v>
      </c>
    </row>
    <row r="65" ht="15.75" customHeight="1"/>
    <row r="66" ht="15.75" customHeight="1">
      <c r="A66" s="28" t="s">
        <v>290</v>
      </c>
      <c r="B66" s="29">
        <f>SUM(B2:B64)</f>
        <v>1659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64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printOptions/>
  <pageMargins bottom="1.0" footer="0.0" header="0.0" left="0.75" right="0.75" top="1.0"/>
  <pageSetup paperSize="9" orientation="portrait"/>
  <drawing r:id="rId64"/>
</worksheet>
</file>